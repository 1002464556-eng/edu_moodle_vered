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8160"/>
  </bookViews>
  <sheets>
    <sheet name="MyWorkSheet-1" sheetId="1" r:id="rId1"/>
  </sheets>
  <calcPr calcId="162913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2" i="1"/>
</calcChain>
</file>

<file path=xl/sharedStrings.xml><?xml version="1.0" encoding="utf-8"?>
<sst xmlns="http://schemas.openxmlformats.org/spreadsheetml/2006/main" count="1014" uniqueCount="386">
  <si>
    <t>מוסד</t>
  </si>
  <si>
    <t>רשות</t>
  </si>
  <si>
    <t>מחוז תקשוב</t>
  </si>
  <si>
    <t>מגזר</t>
  </si>
  <si>
    <t>שם מפקח</t>
  </si>
  <si>
    <t>שם מנהל</t>
  </si>
  <si>
    <t>מספר כיתות בשכבה</t>
  </si>
  <si>
    <t>מספר תלמידים בשכבה</t>
  </si>
  <si>
    <t>תלמידים שביצעו משימה אחת לפחות</t>
  </si>
  <si>
    <t>ממוצע משימות לתלמיד</t>
  </si>
  <si>
    <t>111328-כרמי יהודה</t>
  </si>
  <si>
    <t>גוש עציון</t>
  </si>
  <si>
    <t>ירושלים</t>
  </si>
  <si>
    <t>יהודי</t>
  </si>
  <si>
    <t>יעקב מאיר קושלבסקי</t>
  </si>
  <si>
    <t>אביתר חיים קלין</t>
  </si>
  <si>
    <t>111393-נועם בנות ק.משה</t>
  </si>
  <si>
    <t>העיר ירושלים</t>
  </si>
  <si>
    <t>יואל דוב ורצברגר</t>
  </si>
  <si>
    <t>אורית ווייל</t>
  </si>
  <si>
    <t>111450-גוונים מ"מ</t>
  </si>
  <si>
    <t>קרית ארבע</t>
  </si>
  <si>
    <t>דורית מרגלית רזיאל אלישר</t>
  </si>
  <si>
    <t>ענבל גונן</t>
  </si>
  <si>
    <t>112151-מצפה יריחו</t>
  </si>
  <si>
    <t>מטה בנימין</t>
  </si>
  <si>
    <t>יוסף יעקב שינובר</t>
  </si>
  <si>
    <t>יוסף יהושע יחזק פלהימר</t>
  </si>
  <si>
    <t>112250-עשה חייל</t>
  </si>
  <si>
    <t>אפרת</t>
  </si>
  <si>
    <t>תרזה שפרה פרנקל</t>
  </si>
  <si>
    <t>112516-מבוא חורון</t>
  </si>
  <si>
    <t>ערן מרגלית</t>
  </si>
  <si>
    <t>112953-אהבת ישראל (חרד"ל)</t>
  </si>
  <si>
    <t>גיא רפאלוב</t>
  </si>
  <si>
    <t>113217-הר נוף ממד בנות</t>
  </si>
  <si>
    <t>ברוריה בס</t>
  </si>
  <si>
    <t>113324-בית-אל בנים</t>
  </si>
  <si>
    <t>בית אל</t>
  </si>
  <si>
    <t>ירון גיאת</t>
  </si>
  <si>
    <t>113787-כוכב יעקב בנות</t>
  </si>
  <si>
    <t>דן אפרים בירנבאום</t>
  </si>
  <si>
    <t>114058-אריאל</t>
  </si>
  <si>
    <t>שולמית גיטל פרוינד</t>
  </si>
  <si>
    <t>114173-אורות עציון בנים</t>
  </si>
  <si>
    <t>משה גוטליב</t>
  </si>
  <si>
    <t>114249-אורות עציון בנות</t>
  </si>
  <si>
    <t>דבורה פרידמן</t>
  </si>
  <si>
    <t>118042-אום טובא</t>
  </si>
  <si>
    <t>ערבי</t>
  </si>
  <si>
    <t>מחמד אזברגה</t>
  </si>
  <si>
    <t>וליד אבו טיר</t>
  </si>
  <si>
    <t>118067-אחמד סאמח אלחלדי</t>
  </si>
  <si>
    <t>ווסים רישק</t>
  </si>
  <si>
    <t>118125-טור מכין לבנים</t>
  </si>
  <si>
    <t>נור ח'טיב</t>
  </si>
  <si>
    <t>כאלד ראשיד</t>
  </si>
  <si>
    <t>118133-טור מכין לבנות</t>
  </si>
  <si>
    <t>מנאל פתיאני</t>
  </si>
  <si>
    <t>118158-איבן אל-היית'ם</t>
  </si>
  <si>
    <t>רנה ח'לף</t>
  </si>
  <si>
    <t>אסאמה סביטאני</t>
  </si>
  <si>
    <t>118208-סלואן מכין לבנות</t>
  </si>
  <si>
    <t>פאטמה פתיחה</t>
  </si>
  <si>
    <t>118240-צור באהר מכין</t>
  </si>
  <si>
    <t>עארף אבו חאמד</t>
  </si>
  <si>
    <t>118281-שעפט לבנות א</t>
  </si>
  <si>
    <t>ח'לדון האדיה</t>
  </si>
  <si>
    <t>סוזאן כטיב</t>
  </si>
  <si>
    <t>118299-אלתורי לבנות</t>
  </si>
  <si>
    <t>מהא סלמן</t>
  </si>
  <si>
    <t>118307-עמריה</t>
  </si>
  <si>
    <t>נפיסה סעידה</t>
  </si>
  <si>
    <t>118331-מולויה לבנות</t>
  </si>
  <si>
    <t>נהיל אבו סרור</t>
  </si>
  <si>
    <t>140012-אולפנא תורנית חורב</t>
  </si>
  <si>
    <t>שרה טוויל</t>
  </si>
  <si>
    <t>עודד עוזיאל מיזליש</t>
  </si>
  <si>
    <t>140038-עירוני דתי רוטשילד</t>
  </si>
  <si>
    <t>אריה משה מארק</t>
  </si>
  <si>
    <t>שולמית אייזקס</t>
  </si>
  <si>
    <t>140046-עירוני ג'</t>
  </si>
  <si>
    <t>דוד נמרוד-סימרוט</t>
  </si>
  <si>
    <t>רננה אורון</t>
  </si>
  <si>
    <t>140053-אקדמיה למוסיקה</t>
  </si>
  <si>
    <t>אילנה אוריצקי</t>
  </si>
  <si>
    <t>140061-תכון ליד האוניברסיטה</t>
  </si>
  <si>
    <t>ארז הקר</t>
  </si>
  <si>
    <t>140079-הגמנסיה העברית</t>
  </si>
  <si>
    <t>עופר טס</t>
  </si>
  <si>
    <t>140087-רנה קסין דרכא</t>
  </si>
  <si>
    <t>שגיא כהן</t>
  </si>
  <si>
    <t>140103-תיכון ע"ש בויאר</t>
  </si>
  <si>
    <t>דפנה מנשה-ברוך</t>
  </si>
  <si>
    <t>140129-קרית נוער ירושלים</t>
  </si>
  <si>
    <t>אביחי חרזי</t>
  </si>
  <si>
    <t>140137-ישיבת נתיב מאיר</t>
  </si>
  <si>
    <t>משה מאיר וייס</t>
  </si>
  <si>
    <t>140145-ישיבת חורב</t>
  </si>
  <si>
    <t>יצחק דור</t>
  </si>
  <si>
    <t>140186-תורני ע"ש פ. הימלפרב</t>
  </si>
  <si>
    <t>שלמה דנינו</t>
  </si>
  <si>
    <t>140202-עתיד שחר בית שמש</t>
  </si>
  <si>
    <t>בית שמש</t>
  </si>
  <si>
    <t>תמר אודס</t>
  </si>
  <si>
    <t>אלינור ביטון</t>
  </si>
  <si>
    <t>140236-תורני נסויי בנות פלך</t>
  </si>
  <si>
    <t>יעל-סופי פפר</t>
  </si>
  <si>
    <t>140277-מדרשיית עמליה</t>
  </si>
  <si>
    <t>יעל פרגון</t>
  </si>
  <si>
    <t>140491-אולפנת צביה ירושלים</t>
  </si>
  <si>
    <t>עירית הלוי</t>
  </si>
  <si>
    <t>140665-אולפנא לבנות</t>
  </si>
  <si>
    <t>יעקב עמר</t>
  </si>
  <si>
    <t>שילה דגנית הלוי</t>
  </si>
  <si>
    <t>140723-מקיף ע"ש זיו</t>
  </si>
  <si>
    <t>אורן לאלו</t>
  </si>
  <si>
    <t>140731-מקיף גילה</t>
  </si>
  <si>
    <t>אייל רייכמן</t>
  </si>
  <si>
    <t>140806-תיכון לאומנויות</t>
  </si>
  <si>
    <t>תומר בליטי דגן</t>
  </si>
  <si>
    <t>140855-חט"ב מבשרת</t>
  </si>
  <si>
    <t>מבשרת ציון</t>
  </si>
  <si>
    <t>ציפי יעקב</t>
  </si>
  <si>
    <t>גליה שניידר</t>
  </si>
  <si>
    <t>140863-עמל דקל וילנאי</t>
  </si>
  <si>
    <t>מעלה אדומים</t>
  </si>
  <si>
    <t>דינה זייצב</t>
  </si>
  <si>
    <t>140871-תיכון גבעת גונן</t>
  </si>
  <si>
    <t>אוהד הופמן</t>
  </si>
  <si>
    <t>140889-חט"ב בנים קרית ארבע</t>
  </si>
  <si>
    <t>מנחם סעדיה</t>
  </si>
  <si>
    <t>140939-ישיבת בנ"ע מטה בנימין</t>
  </si>
  <si>
    <t>נסים ניצן ימין</t>
  </si>
  <si>
    <t>140962-עירוני מסורתי</t>
  </si>
  <si>
    <t>יאיר אלברטון</t>
  </si>
  <si>
    <t>140970-אולפנא עופרה</t>
  </si>
  <si>
    <t>אביה זאב ששר</t>
  </si>
  <si>
    <t>141002-חט"ב יצחק רבין</t>
  </si>
  <si>
    <t>גבעת זאב</t>
  </si>
  <si>
    <t>מזל רחל שמש</t>
  </si>
  <si>
    <t>141010-חטב מכללת אורט גבעת רם ירושלים</t>
  </si>
  <si>
    <t>מיכל דלאל</t>
  </si>
  <si>
    <t>141168-תורני לבנות ב.שולמית</t>
  </si>
  <si>
    <t>אמיתי יצחק שחור</t>
  </si>
  <si>
    <t>141176-אולפנת צביה מ. אדומים</t>
  </si>
  <si>
    <t>שלמה נריה ירושלים</t>
  </si>
  <si>
    <t>141309-עירוני פסגת זאב</t>
  </si>
  <si>
    <t>סוניה רפאלי</t>
  </si>
  <si>
    <t>141390-מדרשיית עלמא אמונה</t>
  </si>
  <si>
    <t>הדס גודמן</t>
  </si>
  <si>
    <t>141499-אור תורה סטון לבנים</t>
  </si>
  <si>
    <t>יהונתן יפת</t>
  </si>
  <si>
    <t>141549-אור תורה סטון לבנות</t>
  </si>
  <si>
    <t>חנה עסיס</t>
  </si>
  <si>
    <t>141754-ישיבה תיכ' תורה ומדע</t>
  </si>
  <si>
    <t>רפאל עמיחי בובליל</t>
  </si>
  <si>
    <t>143404-אהל שילה בנים</t>
  </si>
  <si>
    <t>רפאל ממן</t>
  </si>
  <si>
    <t>144097-המרכז הישראלי למצוינות בחינוך</t>
  </si>
  <si>
    <t>נועה שפי</t>
  </si>
  <si>
    <t>144220-תורני נסויי הרטמן</t>
  </si>
  <si>
    <t>שאול דוד</t>
  </si>
  <si>
    <t>144329-תיכון מכבים רעות</t>
  </si>
  <si>
    <t>מודיעין מכבים רעות</t>
  </si>
  <si>
    <t>רוני אהרון פולט</t>
  </si>
  <si>
    <t>144428-ישיבת צביה מ.אדומים</t>
  </si>
  <si>
    <t>יוסף מנחם פרנקל</t>
  </si>
  <si>
    <t>144592-קדמה ירושלים</t>
  </si>
  <si>
    <t>מיכל חדאד</t>
  </si>
  <si>
    <t>144600-ישיבה שעלי תורה</t>
  </si>
  <si>
    <t>תומר זאבי</t>
  </si>
  <si>
    <t>144626-תבל גבעה צרפתית</t>
  </si>
  <si>
    <t>נחמה נשי נפתלי</t>
  </si>
  <si>
    <t>144675-ע"ש יצחק רבין עי"ס</t>
  </si>
  <si>
    <t>רבקה ריקי נגרי</t>
  </si>
  <si>
    <t>144683-עירוני א'</t>
  </si>
  <si>
    <t>דביר שלומי</t>
  </si>
  <si>
    <t>144691-ישיבת נעם</t>
  </si>
  <si>
    <t>אבישי סגל</t>
  </si>
  <si>
    <t>144717-אולפנת בנ"ע אורות מודיעין</t>
  </si>
  <si>
    <t>סגלית נחום</t>
  </si>
  <si>
    <t>144741-ע"ש רא"ל מרדכי גור</t>
  </si>
  <si>
    <t>שרית סנואני</t>
  </si>
  <si>
    <t>144758-ישיבת בנ"ע פסגת זאב</t>
  </si>
  <si>
    <t>רענן-יוסף שרמן</t>
  </si>
  <si>
    <t>144766-ישיבת בנ"ע נר תמיד חשמונאים</t>
  </si>
  <si>
    <t>איתמר ליברמן</t>
  </si>
  <si>
    <t>148056-תיכון בית צפאפא</t>
  </si>
  <si>
    <t>נגוהה פרחאת</t>
  </si>
  <si>
    <t>האשם בדר</t>
  </si>
  <si>
    <t>148080-מקיף אבו גוש</t>
  </si>
  <si>
    <t>אבו גוש</t>
  </si>
  <si>
    <t>ווגיהה איברהים</t>
  </si>
  <si>
    <t>148155-תיכון שועפט</t>
  </si>
  <si>
    <t>ענאן קאסם</t>
  </si>
  <si>
    <t>נאדר נירוך</t>
  </si>
  <si>
    <t>148197-מקיף בית חנינה</t>
  </si>
  <si>
    <t>מגדי עוויסאת</t>
  </si>
  <si>
    <t>148247-מקיף שש שנתי אלטור לבנים</t>
  </si>
  <si>
    <t>מוחמד דעיס</t>
  </si>
  <si>
    <t>148254-שועפט בנות ב'</t>
  </si>
  <si>
    <t>מיסון חלאק</t>
  </si>
  <si>
    <t>148262-אלעלא</t>
  </si>
  <si>
    <t>סלאם עיד</t>
  </si>
  <si>
    <t>148288-כפר עקב</t>
  </si>
  <si>
    <t>אוסאמה טוטח</t>
  </si>
  <si>
    <t>160242-מקיף קשת</t>
  </si>
  <si>
    <t>אורית צילה סומר</t>
  </si>
  <si>
    <t>160259-ליבי</t>
  </si>
  <si>
    <t>ענבל ישראלי</t>
  </si>
  <si>
    <t>160416-רעות קהילה דתית</t>
  </si>
  <si>
    <t>עמיעד יעקב מלצר</t>
  </si>
  <si>
    <t>160432-ברנקו וייס מקיף בית שמש</t>
  </si>
  <si>
    <t>שמעון ויס</t>
  </si>
  <si>
    <t>160473-אלוואדי למצוינות</t>
  </si>
  <si>
    <t>עבדלרחמן אחסין</t>
  </si>
  <si>
    <t>160549-אמי"ת איתן</t>
  </si>
  <si>
    <t>שלמה אליהו דהן</t>
  </si>
  <si>
    <t>160598-ארץ הצבי</t>
  </si>
  <si>
    <t>יוסף איזמן</t>
  </si>
  <si>
    <t>165852-ישיבת בנ"ע לפיד מודיעין</t>
  </si>
  <si>
    <t>שמואל חיים רוזנבלום</t>
  </si>
  <si>
    <t>168021-צור באהר בנות</t>
  </si>
  <si>
    <t>הנאדי יעיש</t>
  </si>
  <si>
    <t>168419-אולפנת צביה יצירתית</t>
  </si>
  <si>
    <t>צפורה כהן</t>
  </si>
  <si>
    <t>170043-תיכון שחרית</t>
  </si>
  <si>
    <t>רני חזון וייס</t>
  </si>
  <si>
    <t>170092-קשת ראם ע"ש אליס סליגסברג</t>
  </si>
  <si>
    <t>גלית חזיזה קמיניץ</t>
  </si>
  <si>
    <t>170399-חטיב אורט מינקןף</t>
  </si>
  <si>
    <t>תמר כספי</t>
  </si>
  <si>
    <t>170514-אורט פלך בנים ספניאן</t>
  </si>
  <si>
    <t>דורון לופז</t>
  </si>
  <si>
    <t>170803-עמל תעופה וחלל</t>
  </si>
  <si>
    <t>יהודית אילוק</t>
  </si>
  <si>
    <t>178178-סאחורה מכין בנות</t>
  </si>
  <si>
    <t>אמאל אשקיראת</t>
  </si>
  <si>
    <t>179754-כפר עקב חדש</t>
  </si>
  <si>
    <t>אמאני פלאח</t>
  </si>
  <si>
    <t>186395-ראשית</t>
  </si>
  <si>
    <t>שרה אבישי</t>
  </si>
  <si>
    <t>186908-אולפנא בני עקיבא נריה</t>
  </si>
  <si>
    <t>יניב כהן</t>
  </si>
  <si>
    <t>188086-דמוקרטי ע"ש נדב</t>
  </si>
  <si>
    <t>טל כהן</t>
  </si>
  <si>
    <t>מירב ניר הוד</t>
  </si>
  <si>
    <t>192997-חט"ב עיסוויה בנים</t>
  </si>
  <si>
    <t>חדר עביד</t>
  </si>
  <si>
    <t>193003-מקיף עיסוואיה לבנות</t>
  </si>
  <si>
    <t>פאטמה עבידאת</t>
  </si>
  <si>
    <t>193185-אולפנת שעלי תורה</t>
  </si>
  <si>
    <t>אלעד בן אליהו</t>
  </si>
  <si>
    <t>198085-חט"ב ראס אל-עמוד</t>
  </si>
  <si>
    <t>סאלח סאלח</t>
  </si>
  <si>
    <t>198192-תיכון צור באהר</t>
  </si>
  <si>
    <t>היתאם סלאמה</t>
  </si>
  <si>
    <t>237354-תיכון יחד</t>
  </si>
  <si>
    <t>שגיב אלבז</t>
  </si>
  <si>
    <t>238121-אולפנת נוגה</t>
  </si>
  <si>
    <t>מטה יהודה</t>
  </si>
  <si>
    <t>מרים לאה קורן</t>
  </si>
  <si>
    <t>239871-סמהר לבנות</t>
  </si>
  <si>
    <t>אמאל טחאן</t>
  </si>
  <si>
    <t>246041-אהבת ישראל</t>
  </si>
  <si>
    <t>שירה יזדי</t>
  </si>
  <si>
    <t>סיון דוד</t>
  </si>
  <si>
    <t>338418-עתיד דביר בנים</t>
  </si>
  <si>
    <t>אברהם שושן</t>
  </si>
  <si>
    <t>338509-חט"ב לבונה</t>
  </si>
  <si>
    <t>בית אריה</t>
  </si>
  <si>
    <t>חן בן שמעון</t>
  </si>
  <si>
    <t>338616-שש שנתי אמי"ת בנות</t>
  </si>
  <si>
    <t>רונית תשובה</t>
  </si>
  <si>
    <t>344911-אורט עירוני ד</t>
  </si>
  <si>
    <t>צופית חדד</t>
  </si>
  <si>
    <t>346494-תיכון יד ביד</t>
  </si>
  <si>
    <t>דניאל עמוס דה שליט</t>
  </si>
  <si>
    <t>347757-סאדברי ירושלים</t>
  </si>
  <si>
    <t>אסנת עוזיאל</t>
  </si>
  <si>
    <t>שחר יצחק גרוסמן</t>
  </si>
  <si>
    <t>353458-יסודי שועפט</t>
  </si>
  <si>
    <t>מופיד אבו גוש</t>
  </si>
  <si>
    <t>353599-אהבת ישראל</t>
  </si>
  <si>
    <t>עמיחי רוזנפלד</t>
  </si>
  <si>
    <t>362046-רנסנס</t>
  </si>
  <si>
    <t>אסמת גחלב</t>
  </si>
  <si>
    <t>417832-חן נריה</t>
  </si>
  <si>
    <t>רוחמה ווגל</t>
  </si>
  <si>
    <t>420018-על יסודי צור הדסה</t>
  </si>
  <si>
    <t>צור הדסה</t>
  </si>
  <si>
    <t>דביר קפלן</t>
  </si>
  <si>
    <t>430074-מקור התקווה</t>
  </si>
  <si>
    <t>שמחה שגית קליימן</t>
  </si>
  <si>
    <t>יואל רוסו</t>
  </si>
  <si>
    <t>440784-ראס אלעמוד ע"ס לבנות</t>
  </si>
  <si>
    <t>אריג' ארנאוט</t>
  </si>
  <si>
    <t>442780-אמי"ת בנות מודיעין</t>
  </si>
  <si>
    <t>ליאת כהן וגשל</t>
  </si>
  <si>
    <t>442822-ברנקו וייס עין נקובה</t>
  </si>
  <si>
    <t>איהאב אלזיאדנה</t>
  </si>
  <si>
    <t>442855-הרטמן בנות</t>
  </si>
  <si>
    <t>מיכל הרטמן</t>
  </si>
  <si>
    <t>450270-אמי"ת בנים מודיעין</t>
  </si>
  <si>
    <t>ליאור שמעון צ'קוטאי</t>
  </si>
  <si>
    <t>460667-אולפנת אהבת ישראל</t>
  </si>
  <si>
    <t>ורדית כהנא</t>
  </si>
  <si>
    <t>477901-מקיף בית חנינה לבנות</t>
  </si>
  <si>
    <t>ליאנא האשם</t>
  </si>
  <si>
    <t>511550-אום טובה לבנות</t>
  </si>
  <si>
    <t>מחמד אבו טיר</t>
  </si>
  <si>
    <t>511618-נווה הראל</t>
  </si>
  <si>
    <t>צפורה זקש</t>
  </si>
  <si>
    <t>512459-הניסויי כפר אדומים</t>
  </si>
  <si>
    <t>נועם שכטר</t>
  </si>
  <si>
    <t>512509-קדם</t>
  </si>
  <si>
    <t>אהרון פרידלנדר</t>
  </si>
  <si>
    <t>540500-ע"ש יצחק נבון מודיעין</t>
  </si>
  <si>
    <t>ענבל לוי</t>
  </si>
  <si>
    <t>611871-מבוא חורון בנות</t>
  </si>
  <si>
    <t>אורה קראוז</t>
  </si>
  <si>
    <t>615948-ישיבת מקור חיים</t>
  </si>
  <si>
    <t>יהונתן גוטמן</t>
  </si>
  <si>
    <t>615955-אח"י תקוע 2</t>
  </si>
  <si>
    <t>יהונתן אהוביה רוזנק</t>
  </si>
  <si>
    <t>615971-חב"ד בנות</t>
  </si>
  <si>
    <t>מרים ויצמן</t>
  </si>
  <si>
    <t>חנה אריה</t>
  </si>
  <si>
    <t>616151-נווה השחר</t>
  </si>
  <si>
    <t>טליה נחמה שקד</t>
  </si>
  <si>
    <t>616508-אלסופרא</t>
  </si>
  <si>
    <t>רובא חשים אבו דייה</t>
  </si>
  <si>
    <t>616961-ארתיקאא לשפות</t>
  </si>
  <si>
    <t>מלכה טרביה עזאם</t>
  </si>
  <si>
    <t>617019-אשבאל אלקודס</t>
  </si>
  <si>
    <t>מחמד הרבוק</t>
  </si>
  <si>
    <t>634840-חיואר</t>
  </si>
  <si>
    <t>מנאל דראושה</t>
  </si>
  <si>
    <t>634857-אלפא</t>
  </si>
  <si>
    <t>אקרם אבראהים</t>
  </si>
  <si>
    <t>641407-אלמתנבי</t>
  </si>
  <si>
    <t>עאסם חסונה</t>
  </si>
  <si>
    <t>641415-רוואד אלקודס</t>
  </si>
  <si>
    <t>נארימן אלתאג'י</t>
  </si>
  <si>
    <t>641464-אבדאע לאומניות.</t>
  </si>
  <si>
    <t>מלחם בדר</t>
  </si>
  <si>
    <t>641480-אולפנת בנ"ע שילה</t>
  </si>
  <si>
    <t>הדר ברינדל אטון</t>
  </si>
  <si>
    <t>641498-ישיבה תיכונית בנ"ע עלי</t>
  </si>
  <si>
    <t>עובדיה בן משה</t>
  </si>
  <si>
    <t>641522-על יסודי אדם</t>
  </si>
  <si>
    <t>הילה מור</t>
  </si>
  <si>
    <t>641563-תיכון דרך</t>
  </si>
  <si>
    <t>יפעת נדב</t>
  </si>
  <si>
    <t>641662-תבל תיכון רמות</t>
  </si>
  <si>
    <t>גילי סלומון</t>
  </si>
  <si>
    <t>645424-ניסוי ארגנטינה</t>
  </si>
  <si>
    <t>גיל הלר</t>
  </si>
  <si>
    <t>650028-אלקימה</t>
  </si>
  <si>
    <t>יאסמין בלעום</t>
  </si>
  <si>
    <t>650523-אולפנת בית אל</t>
  </si>
  <si>
    <t>רעות רוחמה טסלר</t>
  </si>
  <si>
    <t>668962-אלביאן מקיף</t>
  </si>
  <si>
    <t>ראשה ג'בר</t>
  </si>
  <si>
    <t>673822-התיכון הנכו"ן</t>
  </si>
  <si>
    <t>רונית ברק</t>
  </si>
  <si>
    <t>681288-תיכון לביא</t>
  </si>
  <si>
    <t>אברהם קימל</t>
  </si>
  <si>
    <t>682351-מסע</t>
  </si>
  <si>
    <t>-</t>
  </si>
  <si>
    <t>715623-מקיף אלסלעה</t>
  </si>
  <si>
    <t>ולאא גול</t>
  </si>
  <si>
    <t>722298-בית ספר יחיאל</t>
  </si>
  <si>
    <t>ליאת אלהרר כהן</t>
  </si>
  <si>
    <t>יוסף סופר</t>
  </si>
  <si>
    <t>743369-טרה סנטה בית חנינא</t>
  </si>
  <si>
    <t>גורג אבו סעדה</t>
  </si>
  <si>
    <t>759134-סדנת שילוב יובלים</t>
  </si>
  <si>
    <t>ימימה ספרא</t>
  </si>
  <si>
    <t>770727-אולפנת בנ"ע טל רמות</t>
  </si>
  <si>
    <t>יסכה לב</t>
  </si>
  <si>
    <t>771089-התיכון הניסויי</t>
  </si>
  <si>
    <t>גיל שלה</t>
  </si>
  <si>
    <t>תלמידים שלא ביצעו כלל</t>
  </si>
  <si>
    <t>ממוצע שכבתי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</si>
</sst>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sz val="11"/>
      <color theme="1"/>
      <name val="Arial"/>
      <family val="2"/>
      <scheme val="minor"/>
    </font>
    <font>
      <sz val="1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3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left" wrapText="1"/>
    </xf>
    <xf numFmtId="3" fontId="1" fillId="2" borderId="1" xfId="0" applyNumberFormat="1" applyFont="1" applyFill="1" applyBorder="1" applyAlignment="1">
      <alignment horizontal="right" wrapText="1"/>
    </xf>
    <xf numFmtId="164" fontId="1" fillId="2" borderId="1" xfId="0" applyNumberFormat="1" applyFont="1" applyFill="1" applyBorder="1" applyAlignment="1">
      <alignment horizontal="right" wrapText="1"/>
    </xf>
    <xf numFmtId="0" fontId="1" fillId="2" borderId="2" xfId="0" applyFont="1" applyFill="1" applyBorder="1" applyAlignment="1">
      <alignment vertical="top" wrapText="1"/>
    </xf>
    <xf numFmtId="3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left" vertical="top" wrapText="1"/>
    </xf>
    <xf numFmtId="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8"/>
  <sheetViews>
    <sheetView rightToLeft="1" tabSelected="1" workbookViewId="0">
      <selection activeCell="B153" sqref="B153"/>
    </sheetView>
  </sheetViews>
  <sheetFormatPr defaultRowHeight="22.5" x14ac:dyDescent="0.3"/>
  <cols>
    <col min="1" max="1" width="75.75" style="1" customWidth="1"/>
    <col min="2" max="2" width="28.1640625" style="1" customWidth="1"/>
    <col min="3" max="3" width="23" style="1" customWidth="1"/>
    <col min="4" max="4" width="11.4140625" style="1" customWidth="1"/>
    <col min="5" max="5" width="35.83203125" style="1" customWidth="1"/>
    <col min="6" max="6" width="42.25" style="1" customWidth="1"/>
    <col min="7" max="7" width="25.58203125" style="2" customWidth="1"/>
    <col min="8" max="8" width="28.1640625" style="2" customWidth="1"/>
    <col min="9" max="9" width="43.58203125" style="2" customWidth="1"/>
    <col min="10" max="10" width="29.4140625" style="3" customWidth="1"/>
    <col min="11" max="11" width="29.25" customWidth="1"/>
    <col min="12" max="12" width="18.5" customWidth="1"/>
  </cols>
  <sheetData>
    <row r="1" spans="1:12" s="4" customFormat="1" ht="45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4" t="s">
        <v>384</v>
      </c>
      <c r="L1" s="4" t="s">
        <v>385</v>
      </c>
    </row>
    <row r="2" spans="1:12" x14ac:dyDescent="0.3">
      <c r="A2" s="8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9">
        <v>4</v>
      </c>
      <c r="H2" s="9">
        <v>83</v>
      </c>
      <c r="I2" s="9">
        <v>69</v>
      </c>
      <c r="J2" s="10">
        <v>8.2173913043478262</v>
      </c>
      <c r="K2" s="12">
        <f>H2-I2</f>
        <v>14</v>
      </c>
      <c r="L2" s="13">
        <f>(K2*0+J2*I2)/H2</f>
        <v>6.831325301204819</v>
      </c>
    </row>
    <row r="3" spans="1:12" x14ac:dyDescent="0.3">
      <c r="A3" s="8" t="s">
        <v>16</v>
      </c>
      <c r="B3" s="8" t="s">
        <v>12</v>
      </c>
      <c r="C3" s="8" t="s">
        <v>17</v>
      </c>
      <c r="D3" s="8" t="s">
        <v>13</v>
      </c>
      <c r="E3" s="8" t="s">
        <v>18</v>
      </c>
      <c r="F3" s="8" t="s">
        <v>19</v>
      </c>
      <c r="G3" s="9">
        <v>3</v>
      </c>
      <c r="H3" s="9">
        <v>80</v>
      </c>
      <c r="I3" s="9">
        <v>75</v>
      </c>
      <c r="J3" s="10">
        <v>6.666666666666667</v>
      </c>
      <c r="K3" s="12">
        <f t="shared" ref="K3:K66" si="0">H3-I3</f>
        <v>5</v>
      </c>
      <c r="L3" s="13">
        <f t="shared" ref="L3:L66" si="1">(K3*0+J3*I3)/H3</f>
        <v>6.25</v>
      </c>
    </row>
    <row r="4" spans="1:12" x14ac:dyDescent="0.3">
      <c r="A4" s="8" t="s">
        <v>20</v>
      </c>
      <c r="B4" s="8" t="s">
        <v>21</v>
      </c>
      <c r="C4" s="8" t="s">
        <v>12</v>
      </c>
      <c r="D4" s="8" t="s">
        <v>13</v>
      </c>
      <c r="E4" s="8" t="s">
        <v>22</v>
      </c>
      <c r="F4" s="8" t="s">
        <v>23</v>
      </c>
      <c r="G4" s="9">
        <v>1</v>
      </c>
      <c r="H4" s="9">
        <v>11</v>
      </c>
      <c r="I4" s="9">
        <v>11</v>
      </c>
      <c r="J4" s="10">
        <v>3.1818181818181817</v>
      </c>
      <c r="K4" s="12">
        <f t="shared" si="0"/>
        <v>0</v>
      </c>
      <c r="L4" s="13">
        <f t="shared" si="1"/>
        <v>3.1818181818181817</v>
      </c>
    </row>
    <row r="5" spans="1:12" x14ac:dyDescent="0.3">
      <c r="A5" s="8" t="s">
        <v>24</v>
      </c>
      <c r="B5" s="8" t="s">
        <v>25</v>
      </c>
      <c r="C5" s="8" t="s">
        <v>12</v>
      </c>
      <c r="D5" s="8" t="s">
        <v>13</v>
      </c>
      <c r="E5" s="8" t="s">
        <v>26</v>
      </c>
      <c r="F5" s="8" t="s">
        <v>27</v>
      </c>
      <c r="G5" s="9">
        <v>1</v>
      </c>
      <c r="H5" s="9">
        <v>21</v>
      </c>
      <c r="I5" s="9">
        <v>0</v>
      </c>
      <c r="J5" s="10">
        <v>0</v>
      </c>
      <c r="K5" s="12">
        <f t="shared" si="0"/>
        <v>21</v>
      </c>
      <c r="L5" s="13">
        <f t="shared" si="1"/>
        <v>0</v>
      </c>
    </row>
    <row r="6" spans="1:12" x14ac:dyDescent="0.3">
      <c r="A6" s="8" t="s">
        <v>28</v>
      </c>
      <c r="B6" s="8" t="s">
        <v>29</v>
      </c>
      <c r="C6" s="8" t="s">
        <v>12</v>
      </c>
      <c r="D6" s="8" t="s">
        <v>13</v>
      </c>
      <c r="E6" s="8" t="s">
        <v>14</v>
      </c>
      <c r="F6" s="8" t="s">
        <v>30</v>
      </c>
      <c r="G6" s="9">
        <v>3</v>
      </c>
      <c r="H6" s="9">
        <v>61</v>
      </c>
      <c r="I6" s="9">
        <v>40</v>
      </c>
      <c r="J6" s="10">
        <v>2.5499999999999998</v>
      </c>
      <c r="K6" s="12">
        <f t="shared" si="0"/>
        <v>21</v>
      </c>
      <c r="L6" s="13">
        <f t="shared" si="1"/>
        <v>1.6721311475409837</v>
      </c>
    </row>
    <row r="7" spans="1:12" x14ac:dyDescent="0.3">
      <c r="A7" s="8" t="s">
        <v>31</v>
      </c>
      <c r="B7" s="8" t="s">
        <v>25</v>
      </c>
      <c r="C7" s="8" t="s">
        <v>12</v>
      </c>
      <c r="D7" s="8" t="s">
        <v>13</v>
      </c>
      <c r="E7" s="8" t="s">
        <v>26</v>
      </c>
      <c r="F7" s="8" t="s">
        <v>32</v>
      </c>
      <c r="G7" s="9">
        <v>1</v>
      </c>
      <c r="H7" s="9">
        <v>22</v>
      </c>
      <c r="I7" s="9">
        <v>1</v>
      </c>
      <c r="J7" s="10">
        <v>1</v>
      </c>
      <c r="K7" s="12">
        <f t="shared" si="0"/>
        <v>21</v>
      </c>
      <c r="L7" s="13">
        <f t="shared" si="1"/>
        <v>4.5454545454545456E-2</v>
      </c>
    </row>
    <row r="8" spans="1:12" x14ac:dyDescent="0.3">
      <c r="A8" s="8" t="s">
        <v>33</v>
      </c>
      <c r="B8" s="8" t="s">
        <v>12</v>
      </c>
      <c r="C8" s="8" t="s">
        <v>17</v>
      </c>
      <c r="D8" s="8" t="s">
        <v>13</v>
      </c>
      <c r="E8" s="8" t="s">
        <v>18</v>
      </c>
      <c r="F8" s="8" t="s">
        <v>34</v>
      </c>
      <c r="G8" s="9">
        <v>2</v>
      </c>
      <c r="H8" s="9">
        <v>46</v>
      </c>
      <c r="I8" s="9">
        <v>0</v>
      </c>
      <c r="J8" s="10">
        <v>0</v>
      </c>
      <c r="K8" s="12">
        <f t="shared" si="0"/>
        <v>46</v>
      </c>
      <c r="L8" s="13">
        <f t="shared" si="1"/>
        <v>0</v>
      </c>
    </row>
    <row r="9" spans="1:12" x14ac:dyDescent="0.3">
      <c r="A9" s="8" t="s">
        <v>35</v>
      </c>
      <c r="B9" s="8" t="s">
        <v>12</v>
      </c>
      <c r="C9" s="8" t="s">
        <v>17</v>
      </c>
      <c r="D9" s="8" t="s">
        <v>13</v>
      </c>
      <c r="E9" s="8" t="s">
        <v>18</v>
      </c>
      <c r="F9" s="8" t="s">
        <v>36</v>
      </c>
      <c r="G9" s="9">
        <v>2</v>
      </c>
      <c r="H9" s="9">
        <v>60</v>
      </c>
      <c r="I9" s="9">
        <v>60</v>
      </c>
      <c r="J9" s="10">
        <v>4.4833333333333334</v>
      </c>
      <c r="K9" s="12">
        <f t="shared" si="0"/>
        <v>0</v>
      </c>
      <c r="L9" s="13">
        <f t="shared" si="1"/>
        <v>4.4833333333333334</v>
      </c>
    </row>
    <row r="10" spans="1:12" x14ac:dyDescent="0.3">
      <c r="A10" s="8" t="s">
        <v>37</v>
      </c>
      <c r="B10" s="8" t="s">
        <v>38</v>
      </c>
      <c r="C10" s="8" t="s">
        <v>12</v>
      </c>
      <c r="D10" s="8" t="s">
        <v>13</v>
      </c>
      <c r="E10" s="8" t="s">
        <v>26</v>
      </c>
      <c r="F10" s="8" t="s">
        <v>39</v>
      </c>
      <c r="G10" s="9">
        <v>3</v>
      </c>
      <c r="H10" s="9">
        <v>73</v>
      </c>
      <c r="I10" s="9">
        <v>49</v>
      </c>
      <c r="J10" s="10">
        <v>1.0204081632653061</v>
      </c>
      <c r="K10" s="12">
        <f t="shared" si="0"/>
        <v>24</v>
      </c>
      <c r="L10" s="13">
        <f t="shared" si="1"/>
        <v>0.68493150684931503</v>
      </c>
    </row>
    <row r="11" spans="1:12" x14ac:dyDescent="0.3">
      <c r="A11" s="8" t="s">
        <v>40</v>
      </c>
      <c r="B11" s="8" t="s">
        <v>25</v>
      </c>
      <c r="C11" s="8" t="s">
        <v>12</v>
      </c>
      <c r="D11" s="8" t="s">
        <v>13</v>
      </c>
      <c r="E11" s="8" t="s">
        <v>26</v>
      </c>
      <c r="F11" s="8" t="s">
        <v>41</v>
      </c>
      <c r="G11" s="9">
        <v>2</v>
      </c>
      <c r="H11" s="9">
        <v>23</v>
      </c>
      <c r="I11" s="9">
        <v>0</v>
      </c>
      <c r="J11" s="10">
        <v>0</v>
      </c>
      <c r="K11" s="12">
        <f t="shared" si="0"/>
        <v>23</v>
      </c>
      <c r="L11" s="13">
        <f t="shared" si="1"/>
        <v>0</v>
      </c>
    </row>
    <row r="12" spans="1:12" x14ac:dyDescent="0.3">
      <c r="A12" s="8" t="s">
        <v>42</v>
      </c>
      <c r="B12" s="8" t="s">
        <v>29</v>
      </c>
      <c r="C12" s="8" t="s">
        <v>12</v>
      </c>
      <c r="D12" s="8" t="s">
        <v>13</v>
      </c>
      <c r="E12" s="8" t="s">
        <v>14</v>
      </c>
      <c r="F12" s="8" t="s">
        <v>43</v>
      </c>
      <c r="G12" s="9">
        <v>1</v>
      </c>
      <c r="H12" s="9">
        <v>29</v>
      </c>
      <c r="I12" s="9">
        <v>26</v>
      </c>
      <c r="J12" s="10">
        <v>2.9230769230769229</v>
      </c>
      <c r="K12" s="12">
        <f t="shared" si="0"/>
        <v>3</v>
      </c>
      <c r="L12" s="13">
        <f t="shared" si="1"/>
        <v>2.6206896551724137</v>
      </c>
    </row>
    <row r="13" spans="1:12" x14ac:dyDescent="0.3">
      <c r="A13" s="8" t="s">
        <v>44</v>
      </c>
      <c r="B13" s="8" t="s">
        <v>29</v>
      </c>
      <c r="C13" s="8" t="s">
        <v>12</v>
      </c>
      <c r="D13" s="8" t="s">
        <v>13</v>
      </c>
      <c r="E13" s="8" t="s">
        <v>14</v>
      </c>
      <c r="F13" s="8" t="s">
        <v>45</v>
      </c>
      <c r="G13" s="9">
        <v>4</v>
      </c>
      <c r="H13" s="9">
        <v>96</v>
      </c>
      <c r="I13" s="9">
        <v>12</v>
      </c>
      <c r="J13" s="10">
        <v>1.0833333333333333</v>
      </c>
      <c r="K13" s="12">
        <f t="shared" si="0"/>
        <v>84</v>
      </c>
      <c r="L13" s="13">
        <f t="shared" si="1"/>
        <v>0.13541666666666666</v>
      </c>
    </row>
    <row r="14" spans="1:12" x14ac:dyDescent="0.3">
      <c r="A14" s="8" t="s">
        <v>46</v>
      </c>
      <c r="B14" s="8" t="s">
        <v>29</v>
      </c>
      <c r="C14" s="8" t="s">
        <v>12</v>
      </c>
      <c r="D14" s="8" t="s">
        <v>13</v>
      </c>
      <c r="E14" s="8" t="s">
        <v>14</v>
      </c>
      <c r="F14" s="8" t="s">
        <v>47</v>
      </c>
      <c r="G14" s="9">
        <v>3</v>
      </c>
      <c r="H14" s="9">
        <v>63</v>
      </c>
      <c r="I14" s="9">
        <v>53</v>
      </c>
      <c r="J14" s="10">
        <v>5.6792452830188678</v>
      </c>
      <c r="K14" s="12">
        <f t="shared" si="0"/>
        <v>10</v>
      </c>
      <c r="L14" s="13">
        <f t="shared" si="1"/>
        <v>4.7777777777777777</v>
      </c>
    </row>
    <row r="15" spans="1:12" x14ac:dyDescent="0.3">
      <c r="A15" s="8" t="s">
        <v>48</v>
      </c>
      <c r="B15" s="8" t="s">
        <v>12</v>
      </c>
      <c r="C15" s="8" t="s">
        <v>17</v>
      </c>
      <c r="D15" s="8" t="s">
        <v>49</v>
      </c>
      <c r="E15" s="8" t="s">
        <v>50</v>
      </c>
      <c r="F15" s="8" t="s">
        <v>51</v>
      </c>
      <c r="G15" s="9">
        <v>4</v>
      </c>
      <c r="H15" s="9">
        <v>99</v>
      </c>
      <c r="I15" s="9">
        <v>63</v>
      </c>
      <c r="J15" s="10">
        <v>1.7777777777777777</v>
      </c>
      <c r="K15" s="12">
        <f t="shared" si="0"/>
        <v>36</v>
      </c>
      <c r="L15" s="13">
        <f t="shared" si="1"/>
        <v>1.1313131313131313</v>
      </c>
    </row>
    <row r="16" spans="1:12" x14ac:dyDescent="0.3">
      <c r="A16" s="8" t="s">
        <v>52</v>
      </c>
      <c r="B16" s="8" t="s">
        <v>12</v>
      </c>
      <c r="C16" s="8" t="s">
        <v>17</v>
      </c>
      <c r="D16" s="8" t="s">
        <v>49</v>
      </c>
      <c r="E16" s="8" t="s">
        <v>50</v>
      </c>
      <c r="F16" s="8" t="s">
        <v>53</v>
      </c>
      <c r="G16" s="9">
        <v>3</v>
      </c>
      <c r="H16" s="9">
        <v>60</v>
      </c>
      <c r="I16" s="9">
        <v>44</v>
      </c>
      <c r="J16" s="10">
        <v>3.5909090909090908</v>
      </c>
      <c r="K16" s="12">
        <f t="shared" si="0"/>
        <v>16</v>
      </c>
      <c r="L16" s="13">
        <f t="shared" si="1"/>
        <v>2.6333333333333333</v>
      </c>
    </row>
    <row r="17" spans="1:12" x14ac:dyDescent="0.3">
      <c r="A17" s="8" t="s">
        <v>54</v>
      </c>
      <c r="B17" s="8" t="s">
        <v>12</v>
      </c>
      <c r="C17" s="8" t="s">
        <v>17</v>
      </c>
      <c r="D17" s="8" t="s">
        <v>49</v>
      </c>
      <c r="E17" s="8" t="s">
        <v>55</v>
      </c>
      <c r="F17" s="8" t="s">
        <v>56</v>
      </c>
      <c r="G17" s="9">
        <v>2</v>
      </c>
      <c r="H17" s="9">
        <v>43</v>
      </c>
      <c r="I17" s="9">
        <v>26</v>
      </c>
      <c r="J17" s="10">
        <v>1</v>
      </c>
      <c r="K17" s="12">
        <f t="shared" si="0"/>
        <v>17</v>
      </c>
      <c r="L17" s="13">
        <f t="shared" si="1"/>
        <v>0.60465116279069764</v>
      </c>
    </row>
    <row r="18" spans="1:12" x14ac:dyDescent="0.3">
      <c r="A18" s="8" t="s">
        <v>57</v>
      </c>
      <c r="B18" s="8" t="s">
        <v>12</v>
      </c>
      <c r="C18" s="8" t="s">
        <v>17</v>
      </c>
      <c r="D18" s="8" t="s">
        <v>49</v>
      </c>
      <c r="E18" s="8" t="s">
        <v>55</v>
      </c>
      <c r="F18" s="8" t="s">
        <v>58</v>
      </c>
      <c r="G18" s="9">
        <v>3</v>
      </c>
      <c r="H18" s="9">
        <v>90</v>
      </c>
      <c r="I18" s="9">
        <v>90</v>
      </c>
      <c r="J18" s="10">
        <v>6.7666666666666666</v>
      </c>
      <c r="K18" s="12">
        <f t="shared" si="0"/>
        <v>0</v>
      </c>
      <c r="L18" s="13">
        <f t="shared" si="1"/>
        <v>6.7666666666666666</v>
      </c>
    </row>
    <row r="19" spans="1:12" x14ac:dyDescent="0.3">
      <c r="A19" s="8" t="s">
        <v>59</v>
      </c>
      <c r="B19" s="8" t="s">
        <v>12</v>
      </c>
      <c r="C19" s="8" t="s">
        <v>17</v>
      </c>
      <c r="D19" s="8" t="s">
        <v>49</v>
      </c>
      <c r="E19" s="8" t="s">
        <v>60</v>
      </c>
      <c r="F19" s="8" t="s">
        <v>61</v>
      </c>
      <c r="G19" s="9">
        <v>7</v>
      </c>
      <c r="H19" s="9">
        <v>157</v>
      </c>
      <c r="I19" s="9">
        <v>111</v>
      </c>
      <c r="J19" s="10">
        <v>3.810810810810811</v>
      </c>
      <c r="K19" s="12">
        <f t="shared" si="0"/>
        <v>46</v>
      </c>
      <c r="L19" s="13">
        <f t="shared" si="1"/>
        <v>2.6942675159235669</v>
      </c>
    </row>
    <row r="20" spans="1:12" x14ac:dyDescent="0.3">
      <c r="A20" s="8" t="s">
        <v>62</v>
      </c>
      <c r="B20" s="8" t="s">
        <v>12</v>
      </c>
      <c r="C20" s="8" t="s">
        <v>17</v>
      </c>
      <c r="D20" s="8" t="s">
        <v>49</v>
      </c>
      <c r="E20" s="8" t="s">
        <v>50</v>
      </c>
      <c r="F20" s="8" t="s">
        <v>63</v>
      </c>
      <c r="G20" s="9">
        <v>3</v>
      </c>
      <c r="H20" s="9">
        <v>72</v>
      </c>
      <c r="I20" s="9">
        <v>13</v>
      </c>
      <c r="J20" s="10">
        <v>1</v>
      </c>
      <c r="K20" s="12">
        <f t="shared" si="0"/>
        <v>59</v>
      </c>
      <c r="L20" s="13">
        <f t="shared" si="1"/>
        <v>0.18055555555555555</v>
      </c>
    </row>
    <row r="21" spans="1:12" x14ac:dyDescent="0.3">
      <c r="A21" s="8" t="s">
        <v>64</v>
      </c>
      <c r="B21" s="8" t="s">
        <v>12</v>
      </c>
      <c r="C21" s="8" t="s">
        <v>17</v>
      </c>
      <c r="D21" s="8" t="s">
        <v>49</v>
      </c>
      <c r="E21" s="8" t="s">
        <v>50</v>
      </c>
      <c r="F21" s="8" t="s">
        <v>65</v>
      </c>
      <c r="G21" s="9">
        <v>3</v>
      </c>
      <c r="H21" s="9">
        <v>96</v>
      </c>
      <c r="I21" s="9">
        <v>92</v>
      </c>
      <c r="J21" s="10">
        <v>6.5760869565217392</v>
      </c>
      <c r="K21" s="12">
        <f t="shared" si="0"/>
        <v>4</v>
      </c>
      <c r="L21" s="13">
        <f t="shared" si="1"/>
        <v>6.302083333333333</v>
      </c>
    </row>
    <row r="22" spans="1:12" x14ac:dyDescent="0.3">
      <c r="A22" s="8" t="s">
        <v>66</v>
      </c>
      <c r="B22" s="8" t="s">
        <v>12</v>
      </c>
      <c r="C22" s="8" t="s">
        <v>17</v>
      </c>
      <c r="D22" s="8" t="s">
        <v>49</v>
      </c>
      <c r="E22" s="8" t="s">
        <v>67</v>
      </c>
      <c r="F22" s="8" t="s">
        <v>68</v>
      </c>
      <c r="G22" s="9">
        <v>4</v>
      </c>
      <c r="H22" s="9">
        <v>104</v>
      </c>
      <c r="I22" s="9">
        <v>44</v>
      </c>
      <c r="J22" s="10">
        <v>2.9318181818181817</v>
      </c>
      <c r="K22" s="12">
        <f t="shared" si="0"/>
        <v>60</v>
      </c>
      <c r="L22" s="13">
        <f t="shared" si="1"/>
        <v>1.2403846153846154</v>
      </c>
    </row>
    <row r="23" spans="1:12" x14ac:dyDescent="0.3">
      <c r="A23" s="8" t="s">
        <v>69</v>
      </c>
      <c r="B23" s="8" t="s">
        <v>12</v>
      </c>
      <c r="C23" s="8" t="s">
        <v>17</v>
      </c>
      <c r="D23" s="8" t="s">
        <v>49</v>
      </c>
      <c r="E23" s="8" t="s">
        <v>50</v>
      </c>
      <c r="F23" s="8" t="s">
        <v>70</v>
      </c>
      <c r="G23" s="9">
        <v>4</v>
      </c>
      <c r="H23" s="9">
        <v>101</v>
      </c>
      <c r="I23" s="9">
        <v>80</v>
      </c>
      <c r="J23" s="10">
        <v>8.7249999999999996</v>
      </c>
      <c r="K23" s="12">
        <f t="shared" si="0"/>
        <v>21</v>
      </c>
      <c r="L23" s="13">
        <f t="shared" si="1"/>
        <v>6.9108910891089108</v>
      </c>
    </row>
    <row r="24" spans="1:12" x14ac:dyDescent="0.3">
      <c r="A24" s="8" t="s">
        <v>71</v>
      </c>
      <c r="B24" s="8" t="s">
        <v>12</v>
      </c>
      <c r="C24" s="8" t="s">
        <v>17</v>
      </c>
      <c r="D24" s="8" t="s">
        <v>49</v>
      </c>
      <c r="E24" s="8" t="s">
        <v>67</v>
      </c>
      <c r="F24" s="8" t="s">
        <v>72</v>
      </c>
      <c r="G24" s="9">
        <v>3</v>
      </c>
      <c r="H24" s="9">
        <v>47</v>
      </c>
      <c r="I24" s="9">
        <v>31</v>
      </c>
      <c r="J24" s="10">
        <v>9.8387096774193541</v>
      </c>
      <c r="K24" s="12">
        <f t="shared" si="0"/>
        <v>16</v>
      </c>
      <c r="L24" s="13">
        <f t="shared" si="1"/>
        <v>6.4893617021276597</v>
      </c>
    </row>
    <row r="25" spans="1:12" x14ac:dyDescent="0.3">
      <c r="A25" s="8" t="s">
        <v>73</v>
      </c>
      <c r="B25" s="8" t="s">
        <v>12</v>
      </c>
      <c r="C25" s="8" t="s">
        <v>17</v>
      </c>
      <c r="D25" s="8" t="s">
        <v>49</v>
      </c>
      <c r="E25" s="8" t="s">
        <v>67</v>
      </c>
      <c r="F25" s="8" t="s">
        <v>74</v>
      </c>
      <c r="G25" s="9">
        <v>2</v>
      </c>
      <c r="H25" s="9">
        <v>47</v>
      </c>
      <c r="I25" s="9">
        <v>47</v>
      </c>
      <c r="J25" s="10">
        <v>8.6382978723404253</v>
      </c>
      <c r="K25" s="12">
        <f t="shared" si="0"/>
        <v>0</v>
      </c>
      <c r="L25" s="13">
        <f t="shared" si="1"/>
        <v>8.6382978723404253</v>
      </c>
    </row>
    <row r="26" spans="1:12" x14ac:dyDescent="0.3">
      <c r="A26" s="8" t="s">
        <v>75</v>
      </c>
      <c r="B26" s="8" t="s">
        <v>12</v>
      </c>
      <c r="C26" s="8" t="s">
        <v>17</v>
      </c>
      <c r="D26" s="8" t="s">
        <v>13</v>
      </c>
      <c r="E26" s="8" t="s">
        <v>76</v>
      </c>
      <c r="F26" s="8" t="s">
        <v>77</v>
      </c>
      <c r="G26" s="9">
        <v>5</v>
      </c>
      <c r="H26" s="9">
        <v>133</v>
      </c>
      <c r="I26" s="9">
        <v>119</v>
      </c>
      <c r="J26" s="10">
        <v>5.2100840336134455</v>
      </c>
      <c r="K26" s="12">
        <f t="shared" si="0"/>
        <v>14</v>
      </c>
      <c r="L26" s="13">
        <f t="shared" si="1"/>
        <v>4.6616541353383463</v>
      </c>
    </row>
    <row r="27" spans="1:12" x14ac:dyDescent="0.3">
      <c r="A27" s="8" t="s">
        <v>78</v>
      </c>
      <c r="B27" s="8" t="s">
        <v>12</v>
      </c>
      <c r="C27" s="8" t="s">
        <v>17</v>
      </c>
      <c r="D27" s="8" t="s">
        <v>13</v>
      </c>
      <c r="E27" s="8" t="s">
        <v>79</v>
      </c>
      <c r="F27" s="8" t="s">
        <v>80</v>
      </c>
      <c r="G27" s="9">
        <v>2</v>
      </c>
      <c r="H27" s="9">
        <v>48</v>
      </c>
      <c r="I27" s="9">
        <v>42</v>
      </c>
      <c r="J27" s="10">
        <v>5.2142857142857144</v>
      </c>
      <c r="K27" s="12">
        <f t="shared" si="0"/>
        <v>6</v>
      </c>
      <c r="L27" s="13">
        <f t="shared" si="1"/>
        <v>4.5625</v>
      </c>
    </row>
    <row r="28" spans="1:12" x14ac:dyDescent="0.3">
      <c r="A28" s="8" t="s">
        <v>81</v>
      </c>
      <c r="B28" s="8" t="s">
        <v>12</v>
      </c>
      <c r="C28" s="8" t="s">
        <v>17</v>
      </c>
      <c r="D28" s="8" t="s">
        <v>13</v>
      </c>
      <c r="E28" s="8" t="s">
        <v>82</v>
      </c>
      <c r="F28" s="8" t="s">
        <v>83</v>
      </c>
      <c r="G28" s="9">
        <v>3</v>
      </c>
      <c r="H28" s="9">
        <v>44</v>
      </c>
      <c r="I28" s="9">
        <v>38</v>
      </c>
      <c r="J28" s="10">
        <v>3.3157894736842106</v>
      </c>
      <c r="K28" s="12">
        <f t="shared" si="0"/>
        <v>6</v>
      </c>
      <c r="L28" s="13">
        <f t="shared" si="1"/>
        <v>2.8636363636363638</v>
      </c>
    </row>
    <row r="29" spans="1:12" x14ac:dyDescent="0.3">
      <c r="A29" s="8" t="s">
        <v>84</v>
      </c>
      <c r="B29" s="8" t="s">
        <v>12</v>
      </c>
      <c r="C29" s="8" t="s">
        <v>17</v>
      </c>
      <c r="D29" s="8" t="s">
        <v>13</v>
      </c>
      <c r="E29" s="8" t="s">
        <v>82</v>
      </c>
      <c r="F29" s="8" t="s">
        <v>85</v>
      </c>
      <c r="G29" s="9">
        <v>2</v>
      </c>
      <c r="H29" s="9">
        <v>43</v>
      </c>
      <c r="I29" s="9">
        <v>1</v>
      </c>
      <c r="J29" s="10">
        <v>1</v>
      </c>
      <c r="K29" s="12">
        <f t="shared" si="0"/>
        <v>42</v>
      </c>
      <c r="L29" s="13">
        <f t="shared" si="1"/>
        <v>2.3255813953488372E-2</v>
      </c>
    </row>
    <row r="30" spans="1:12" x14ac:dyDescent="0.3">
      <c r="A30" s="8" t="s">
        <v>86</v>
      </c>
      <c r="B30" s="8" t="s">
        <v>12</v>
      </c>
      <c r="C30" s="8" t="s">
        <v>17</v>
      </c>
      <c r="D30" s="8" t="s">
        <v>13</v>
      </c>
      <c r="E30" s="8" t="s">
        <v>82</v>
      </c>
      <c r="F30" s="8" t="s">
        <v>87</v>
      </c>
      <c r="G30" s="9">
        <v>7</v>
      </c>
      <c r="H30" s="9">
        <v>176</v>
      </c>
      <c r="I30" s="9">
        <v>29</v>
      </c>
      <c r="J30" s="10">
        <v>2.4827586206896552</v>
      </c>
      <c r="K30" s="12">
        <f t="shared" si="0"/>
        <v>147</v>
      </c>
      <c r="L30" s="13">
        <f t="shared" si="1"/>
        <v>0.40909090909090912</v>
      </c>
    </row>
    <row r="31" spans="1:12" x14ac:dyDescent="0.3">
      <c r="A31" s="8" t="s">
        <v>88</v>
      </c>
      <c r="B31" s="8" t="s">
        <v>12</v>
      </c>
      <c r="C31" s="8" t="s">
        <v>17</v>
      </c>
      <c r="D31" s="8" t="s">
        <v>13</v>
      </c>
      <c r="E31" s="8" t="s">
        <v>82</v>
      </c>
      <c r="F31" s="8" t="s">
        <v>89</v>
      </c>
      <c r="G31" s="9">
        <v>6</v>
      </c>
      <c r="H31" s="9">
        <v>141</v>
      </c>
      <c r="I31" s="9">
        <v>73</v>
      </c>
      <c r="J31" s="10">
        <v>2.2739726027397262</v>
      </c>
      <c r="K31" s="12">
        <f t="shared" si="0"/>
        <v>68</v>
      </c>
      <c r="L31" s="13">
        <f t="shared" si="1"/>
        <v>1.1773049645390072</v>
      </c>
    </row>
    <row r="32" spans="1:12" x14ac:dyDescent="0.3">
      <c r="A32" s="8" t="s">
        <v>90</v>
      </c>
      <c r="B32" s="8" t="s">
        <v>12</v>
      </c>
      <c r="C32" s="8" t="s">
        <v>17</v>
      </c>
      <c r="D32" s="8" t="s">
        <v>13</v>
      </c>
      <c r="E32" s="8" t="s">
        <v>82</v>
      </c>
      <c r="F32" s="8" t="s">
        <v>91</v>
      </c>
      <c r="G32" s="9">
        <v>4</v>
      </c>
      <c r="H32" s="9">
        <v>87</v>
      </c>
      <c r="I32" s="9">
        <v>19</v>
      </c>
      <c r="J32" s="10">
        <v>1</v>
      </c>
      <c r="K32" s="12">
        <f t="shared" si="0"/>
        <v>68</v>
      </c>
      <c r="L32" s="13">
        <f t="shared" si="1"/>
        <v>0.21839080459770116</v>
      </c>
    </row>
    <row r="33" spans="1:12" x14ac:dyDescent="0.3">
      <c r="A33" s="8" t="s">
        <v>92</v>
      </c>
      <c r="B33" s="8" t="s">
        <v>12</v>
      </c>
      <c r="C33" s="8" t="s">
        <v>17</v>
      </c>
      <c r="D33" s="8" t="s">
        <v>13</v>
      </c>
      <c r="E33" s="8" t="s">
        <v>82</v>
      </c>
      <c r="F33" s="8" t="s">
        <v>93</v>
      </c>
      <c r="G33" s="9">
        <v>3</v>
      </c>
      <c r="H33" s="9">
        <v>100</v>
      </c>
      <c r="I33" s="9">
        <v>47</v>
      </c>
      <c r="J33" s="10">
        <v>1.4680851063829787</v>
      </c>
      <c r="K33" s="12">
        <f t="shared" si="0"/>
        <v>53</v>
      </c>
      <c r="L33" s="13">
        <f t="shared" si="1"/>
        <v>0.69</v>
      </c>
    </row>
    <row r="34" spans="1:12" x14ac:dyDescent="0.3">
      <c r="A34" s="8" t="s">
        <v>94</v>
      </c>
      <c r="B34" s="8" t="s">
        <v>12</v>
      </c>
      <c r="C34" s="8" t="s">
        <v>17</v>
      </c>
      <c r="D34" s="8" t="s">
        <v>13</v>
      </c>
      <c r="E34" s="8" t="s">
        <v>79</v>
      </c>
      <c r="F34" s="8" t="s">
        <v>95</v>
      </c>
      <c r="G34" s="9">
        <v>4</v>
      </c>
      <c r="H34" s="9">
        <v>84</v>
      </c>
      <c r="I34" s="9">
        <v>34</v>
      </c>
      <c r="J34" s="10">
        <v>2.6764705882352939</v>
      </c>
      <c r="K34" s="12">
        <f t="shared" si="0"/>
        <v>50</v>
      </c>
      <c r="L34" s="13">
        <f t="shared" si="1"/>
        <v>1.0833333333333333</v>
      </c>
    </row>
    <row r="35" spans="1:12" x14ac:dyDescent="0.3">
      <c r="A35" s="8" t="s">
        <v>96</v>
      </c>
      <c r="B35" s="8" t="s">
        <v>12</v>
      </c>
      <c r="C35" s="8" t="s">
        <v>17</v>
      </c>
      <c r="D35" s="8" t="s">
        <v>13</v>
      </c>
      <c r="E35" s="8" t="s">
        <v>79</v>
      </c>
      <c r="F35" s="8" t="s">
        <v>97</v>
      </c>
      <c r="G35" s="9">
        <v>3</v>
      </c>
      <c r="H35" s="9">
        <v>55</v>
      </c>
      <c r="I35" s="9">
        <v>1</v>
      </c>
      <c r="J35" s="10">
        <v>1</v>
      </c>
      <c r="K35" s="12">
        <f t="shared" si="0"/>
        <v>54</v>
      </c>
      <c r="L35" s="13">
        <f t="shared" si="1"/>
        <v>1.8181818181818181E-2</v>
      </c>
    </row>
    <row r="36" spans="1:12" x14ac:dyDescent="0.3">
      <c r="A36" s="8" t="s">
        <v>98</v>
      </c>
      <c r="B36" s="8" t="s">
        <v>12</v>
      </c>
      <c r="C36" s="8" t="s">
        <v>17</v>
      </c>
      <c r="D36" s="8" t="s">
        <v>13</v>
      </c>
      <c r="E36" s="8" t="s">
        <v>79</v>
      </c>
      <c r="F36" s="8" t="s">
        <v>99</v>
      </c>
      <c r="G36" s="9">
        <v>4</v>
      </c>
      <c r="H36" s="9">
        <v>96</v>
      </c>
      <c r="I36" s="9">
        <v>39</v>
      </c>
      <c r="J36" s="10">
        <v>2.0256410256410255</v>
      </c>
      <c r="K36" s="12">
        <f t="shared" si="0"/>
        <v>57</v>
      </c>
      <c r="L36" s="13">
        <f t="shared" si="1"/>
        <v>0.82291666666666663</v>
      </c>
    </row>
    <row r="37" spans="1:12" x14ac:dyDescent="0.3">
      <c r="A37" s="8" t="s">
        <v>100</v>
      </c>
      <c r="B37" s="8" t="s">
        <v>12</v>
      </c>
      <c r="C37" s="8" t="s">
        <v>17</v>
      </c>
      <c r="D37" s="8" t="s">
        <v>13</v>
      </c>
      <c r="E37" s="8" t="s">
        <v>79</v>
      </c>
      <c r="F37" s="8" t="s">
        <v>101</v>
      </c>
      <c r="G37" s="9">
        <v>5</v>
      </c>
      <c r="H37" s="9">
        <v>131</v>
      </c>
      <c r="I37" s="9">
        <v>111</v>
      </c>
      <c r="J37" s="10">
        <v>1.7387387387387387</v>
      </c>
      <c r="K37" s="12">
        <f t="shared" si="0"/>
        <v>20</v>
      </c>
      <c r="L37" s="13">
        <f t="shared" si="1"/>
        <v>1.4732824427480915</v>
      </c>
    </row>
    <row r="38" spans="1:12" x14ac:dyDescent="0.3">
      <c r="A38" s="8" t="s">
        <v>102</v>
      </c>
      <c r="B38" s="8" t="s">
        <v>103</v>
      </c>
      <c r="C38" s="8" t="s">
        <v>12</v>
      </c>
      <c r="D38" s="8" t="s">
        <v>13</v>
      </c>
      <c r="E38" s="8" t="s">
        <v>104</v>
      </c>
      <c r="F38" s="8" t="s">
        <v>105</v>
      </c>
      <c r="G38" s="9">
        <v>3</v>
      </c>
      <c r="H38" s="9">
        <v>58</v>
      </c>
      <c r="I38" s="9">
        <v>44</v>
      </c>
      <c r="J38" s="10">
        <v>3.3863636363636362</v>
      </c>
      <c r="K38" s="12">
        <f t="shared" si="0"/>
        <v>14</v>
      </c>
      <c r="L38" s="13">
        <f t="shared" si="1"/>
        <v>2.5689655172413794</v>
      </c>
    </row>
    <row r="39" spans="1:12" x14ac:dyDescent="0.3">
      <c r="A39" s="8" t="s">
        <v>106</v>
      </c>
      <c r="B39" s="8" t="s">
        <v>12</v>
      </c>
      <c r="C39" s="8" t="s">
        <v>17</v>
      </c>
      <c r="D39" s="8" t="s">
        <v>13</v>
      </c>
      <c r="E39" s="8" t="s">
        <v>79</v>
      </c>
      <c r="F39" s="8" t="s">
        <v>107</v>
      </c>
      <c r="G39" s="9">
        <v>4</v>
      </c>
      <c r="H39" s="9">
        <v>102</v>
      </c>
      <c r="I39" s="9">
        <v>94</v>
      </c>
      <c r="J39" s="10">
        <v>3.5</v>
      </c>
      <c r="K39" s="12">
        <f t="shared" si="0"/>
        <v>8</v>
      </c>
      <c r="L39" s="13">
        <f t="shared" si="1"/>
        <v>3.2254901960784315</v>
      </c>
    </row>
    <row r="40" spans="1:12" x14ac:dyDescent="0.3">
      <c r="A40" s="8" t="s">
        <v>108</v>
      </c>
      <c r="B40" s="8" t="s">
        <v>12</v>
      </c>
      <c r="C40" s="8" t="s">
        <v>17</v>
      </c>
      <c r="D40" s="8" t="s">
        <v>13</v>
      </c>
      <c r="E40" s="8" t="s">
        <v>76</v>
      </c>
      <c r="F40" s="8" t="s">
        <v>109</v>
      </c>
      <c r="G40" s="9">
        <v>2</v>
      </c>
      <c r="H40" s="9">
        <v>41</v>
      </c>
      <c r="I40" s="9">
        <v>25</v>
      </c>
      <c r="J40" s="10">
        <v>8.8800000000000008</v>
      </c>
      <c r="K40" s="12">
        <f t="shared" si="0"/>
        <v>16</v>
      </c>
      <c r="L40" s="13">
        <f t="shared" si="1"/>
        <v>5.4146341463414638</v>
      </c>
    </row>
    <row r="41" spans="1:12" x14ac:dyDescent="0.3">
      <c r="A41" s="8" t="s">
        <v>110</v>
      </c>
      <c r="B41" s="8" t="s">
        <v>12</v>
      </c>
      <c r="C41" s="8" t="s">
        <v>17</v>
      </c>
      <c r="D41" s="8" t="s">
        <v>13</v>
      </c>
      <c r="E41" s="8" t="s">
        <v>76</v>
      </c>
      <c r="F41" s="8" t="s">
        <v>111</v>
      </c>
      <c r="G41" s="9">
        <v>1</v>
      </c>
      <c r="H41" s="9">
        <v>32</v>
      </c>
      <c r="I41" s="9">
        <v>32</v>
      </c>
      <c r="J41" s="10">
        <v>3.625</v>
      </c>
      <c r="K41" s="12">
        <f t="shared" si="0"/>
        <v>0</v>
      </c>
      <c r="L41" s="13">
        <f t="shared" si="1"/>
        <v>3.625</v>
      </c>
    </row>
    <row r="42" spans="1:12" x14ac:dyDescent="0.3">
      <c r="A42" s="8" t="s">
        <v>112</v>
      </c>
      <c r="B42" s="8" t="s">
        <v>21</v>
      </c>
      <c r="C42" s="8" t="s">
        <v>12</v>
      </c>
      <c r="D42" s="8" t="s">
        <v>13</v>
      </c>
      <c r="E42" s="8" t="s">
        <v>113</v>
      </c>
      <c r="F42" s="8" t="s">
        <v>114</v>
      </c>
      <c r="G42" s="9">
        <v>4</v>
      </c>
      <c r="H42" s="9">
        <v>77</v>
      </c>
      <c r="I42" s="9">
        <v>61</v>
      </c>
      <c r="J42" s="10">
        <v>4.3770491803278686</v>
      </c>
      <c r="K42" s="12">
        <f t="shared" si="0"/>
        <v>16</v>
      </c>
      <c r="L42" s="13">
        <f t="shared" si="1"/>
        <v>3.4675324675324677</v>
      </c>
    </row>
    <row r="43" spans="1:12" x14ac:dyDescent="0.3">
      <c r="A43" s="8" t="s">
        <v>115</v>
      </c>
      <c r="B43" s="8" t="s">
        <v>12</v>
      </c>
      <c r="C43" s="8" t="s">
        <v>17</v>
      </c>
      <c r="D43" s="8" t="s">
        <v>13</v>
      </c>
      <c r="E43" s="8" t="s">
        <v>82</v>
      </c>
      <c r="F43" s="8" t="s">
        <v>116</v>
      </c>
      <c r="G43" s="9">
        <v>6</v>
      </c>
      <c r="H43" s="9">
        <v>174</v>
      </c>
      <c r="I43" s="9">
        <v>161</v>
      </c>
      <c r="J43" s="10">
        <v>4.7577639751552798</v>
      </c>
      <c r="K43" s="12">
        <f t="shared" si="0"/>
        <v>13</v>
      </c>
      <c r="L43" s="13">
        <f t="shared" si="1"/>
        <v>4.4022988505747129</v>
      </c>
    </row>
    <row r="44" spans="1:12" x14ac:dyDescent="0.3">
      <c r="A44" s="8" t="s">
        <v>117</v>
      </c>
      <c r="B44" s="8" t="s">
        <v>12</v>
      </c>
      <c r="C44" s="8" t="s">
        <v>17</v>
      </c>
      <c r="D44" s="8" t="s">
        <v>13</v>
      </c>
      <c r="E44" s="8" t="s">
        <v>82</v>
      </c>
      <c r="F44" s="8" t="s">
        <v>118</v>
      </c>
      <c r="G44" s="9">
        <v>3</v>
      </c>
      <c r="H44" s="9">
        <v>57</v>
      </c>
      <c r="I44" s="9">
        <v>39</v>
      </c>
      <c r="J44" s="10">
        <v>2.7179487179487181</v>
      </c>
      <c r="K44" s="12">
        <f t="shared" si="0"/>
        <v>18</v>
      </c>
      <c r="L44" s="13">
        <f t="shared" si="1"/>
        <v>1.8596491228070176</v>
      </c>
    </row>
    <row r="45" spans="1:12" x14ac:dyDescent="0.3">
      <c r="A45" s="8" t="s">
        <v>119</v>
      </c>
      <c r="B45" s="8" t="s">
        <v>12</v>
      </c>
      <c r="C45" s="8" t="s">
        <v>17</v>
      </c>
      <c r="D45" s="8" t="s">
        <v>13</v>
      </c>
      <c r="E45" s="8" t="s">
        <v>82</v>
      </c>
      <c r="F45" s="8" t="s">
        <v>120</v>
      </c>
      <c r="G45" s="9">
        <v>4</v>
      </c>
      <c r="H45" s="9">
        <v>92</v>
      </c>
      <c r="I45" s="9">
        <v>11</v>
      </c>
      <c r="J45" s="10">
        <v>1.5454545454545454</v>
      </c>
      <c r="K45" s="12">
        <f t="shared" si="0"/>
        <v>81</v>
      </c>
      <c r="L45" s="13">
        <f t="shared" si="1"/>
        <v>0.18478260869565216</v>
      </c>
    </row>
    <row r="46" spans="1:12" x14ac:dyDescent="0.3">
      <c r="A46" s="8" t="s">
        <v>121</v>
      </c>
      <c r="B46" s="8" t="s">
        <v>122</v>
      </c>
      <c r="C46" s="8" t="s">
        <v>12</v>
      </c>
      <c r="D46" s="8" t="s">
        <v>13</v>
      </c>
      <c r="E46" s="8" t="s">
        <v>123</v>
      </c>
      <c r="F46" s="8" t="s">
        <v>124</v>
      </c>
      <c r="G46" s="9">
        <v>9</v>
      </c>
      <c r="H46" s="9">
        <v>261</v>
      </c>
      <c r="I46" s="9">
        <v>204</v>
      </c>
      <c r="J46" s="10">
        <v>4.7254901960784315</v>
      </c>
      <c r="K46" s="12">
        <f t="shared" si="0"/>
        <v>57</v>
      </c>
      <c r="L46" s="13">
        <f t="shared" si="1"/>
        <v>3.6934865900383143</v>
      </c>
    </row>
    <row r="47" spans="1:12" x14ac:dyDescent="0.3">
      <c r="A47" s="8" t="s">
        <v>125</v>
      </c>
      <c r="B47" s="8" t="s">
        <v>126</v>
      </c>
      <c r="C47" s="8" t="s">
        <v>12</v>
      </c>
      <c r="D47" s="8" t="s">
        <v>13</v>
      </c>
      <c r="E47" s="8" t="s">
        <v>123</v>
      </c>
      <c r="F47" s="8" t="s">
        <v>127</v>
      </c>
      <c r="G47" s="9">
        <v>7</v>
      </c>
      <c r="H47" s="9">
        <v>177</v>
      </c>
      <c r="I47" s="9">
        <v>161</v>
      </c>
      <c r="J47" s="10">
        <v>5.658385093167702</v>
      </c>
      <c r="K47" s="12">
        <f t="shared" si="0"/>
        <v>16</v>
      </c>
      <c r="L47" s="13">
        <f t="shared" si="1"/>
        <v>5.1468926553672318</v>
      </c>
    </row>
    <row r="48" spans="1:12" x14ac:dyDescent="0.3">
      <c r="A48" s="8" t="s">
        <v>128</v>
      </c>
      <c r="B48" s="8" t="s">
        <v>12</v>
      </c>
      <c r="C48" s="8" t="s">
        <v>17</v>
      </c>
      <c r="D48" s="8" t="s">
        <v>13</v>
      </c>
      <c r="E48" s="8" t="s">
        <v>82</v>
      </c>
      <c r="F48" s="8" t="s">
        <v>129</v>
      </c>
      <c r="G48" s="9">
        <v>3</v>
      </c>
      <c r="H48" s="9">
        <v>58</v>
      </c>
      <c r="I48" s="9">
        <v>52</v>
      </c>
      <c r="J48" s="10">
        <v>3.6538461538461537</v>
      </c>
      <c r="K48" s="12">
        <f t="shared" si="0"/>
        <v>6</v>
      </c>
      <c r="L48" s="13">
        <f t="shared" si="1"/>
        <v>3.2758620689655173</v>
      </c>
    </row>
    <row r="49" spans="1:12" x14ac:dyDescent="0.3">
      <c r="A49" s="8" t="s">
        <v>130</v>
      </c>
      <c r="B49" s="8" t="s">
        <v>21</v>
      </c>
      <c r="C49" s="8" t="s">
        <v>12</v>
      </c>
      <c r="D49" s="8" t="s">
        <v>13</v>
      </c>
      <c r="E49" s="8" t="s">
        <v>113</v>
      </c>
      <c r="F49" s="8" t="s">
        <v>131</v>
      </c>
      <c r="G49" s="9">
        <v>3</v>
      </c>
      <c r="H49" s="9">
        <v>71</v>
      </c>
      <c r="I49" s="9">
        <v>55</v>
      </c>
      <c r="J49" s="10">
        <v>3.9454545454545453</v>
      </c>
      <c r="K49" s="12">
        <f t="shared" si="0"/>
        <v>16</v>
      </c>
      <c r="L49" s="13">
        <f t="shared" si="1"/>
        <v>3.056338028169014</v>
      </c>
    </row>
    <row r="50" spans="1:12" x14ac:dyDescent="0.3">
      <c r="A50" s="8" t="s">
        <v>132</v>
      </c>
      <c r="B50" s="8" t="s">
        <v>25</v>
      </c>
      <c r="C50" s="8" t="s">
        <v>12</v>
      </c>
      <c r="D50" s="8" t="s">
        <v>13</v>
      </c>
      <c r="E50" s="8" t="s">
        <v>113</v>
      </c>
      <c r="F50" s="8" t="s">
        <v>133</v>
      </c>
      <c r="G50" s="9">
        <v>4</v>
      </c>
      <c r="H50" s="9">
        <v>83</v>
      </c>
      <c r="I50" s="9">
        <v>0</v>
      </c>
      <c r="J50" s="10">
        <v>0</v>
      </c>
      <c r="K50" s="12">
        <f t="shared" si="0"/>
        <v>83</v>
      </c>
      <c r="L50" s="13">
        <f t="shared" si="1"/>
        <v>0</v>
      </c>
    </row>
    <row r="51" spans="1:12" x14ac:dyDescent="0.3">
      <c r="A51" s="8" t="s">
        <v>134</v>
      </c>
      <c r="B51" s="8" t="s">
        <v>12</v>
      </c>
      <c r="C51" s="8" t="s">
        <v>17</v>
      </c>
      <c r="D51" s="8" t="s">
        <v>13</v>
      </c>
      <c r="E51" s="8" t="s">
        <v>82</v>
      </c>
      <c r="F51" s="8" t="s">
        <v>135</v>
      </c>
      <c r="G51" s="9">
        <v>3</v>
      </c>
      <c r="H51" s="9">
        <v>50</v>
      </c>
      <c r="I51" s="9">
        <v>37</v>
      </c>
      <c r="J51" s="10">
        <v>3</v>
      </c>
      <c r="K51" s="12">
        <f t="shared" si="0"/>
        <v>13</v>
      </c>
      <c r="L51" s="13">
        <f t="shared" si="1"/>
        <v>2.2200000000000002</v>
      </c>
    </row>
    <row r="52" spans="1:12" x14ac:dyDescent="0.3">
      <c r="A52" s="8" t="s">
        <v>136</v>
      </c>
      <c r="B52" s="8" t="s">
        <v>25</v>
      </c>
      <c r="C52" s="8" t="s">
        <v>12</v>
      </c>
      <c r="D52" s="8" t="s">
        <v>13</v>
      </c>
      <c r="E52" s="8" t="s">
        <v>113</v>
      </c>
      <c r="F52" s="8" t="s">
        <v>137</v>
      </c>
      <c r="G52" s="9">
        <v>7</v>
      </c>
      <c r="H52" s="9">
        <v>136</v>
      </c>
      <c r="I52" s="9">
        <v>111</v>
      </c>
      <c r="J52" s="10">
        <v>5.2342342342342345</v>
      </c>
      <c r="K52" s="12">
        <f t="shared" si="0"/>
        <v>25</v>
      </c>
      <c r="L52" s="13">
        <f t="shared" si="1"/>
        <v>4.2720588235294121</v>
      </c>
    </row>
    <row r="53" spans="1:12" x14ac:dyDescent="0.3">
      <c r="A53" s="8" t="s">
        <v>138</v>
      </c>
      <c r="B53" s="8" t="s">
        <v>139</v>
      </c>
      <c r="C53" s="8" t="s">
        <v>12</v>
      </c>
      <c r="D53" s="8" t="s">
        <v>13</v>
      </c>
      <c r="E53" s="8" t="s">
        <v>123</v>
      </c>
      <c r="F53" s="8" t="s">
        <v>140</v>
      </c>
      <c r="G53" s="9">
        <v>1</v>
      </c>
      <c r="H53" s="9">
        <v>26</v>
      </c>
      <c r="I53" s="9">
        <v>18</v>
      </c>
      <c r="J53" s="10">
        <v>1.6111111111111112</v>
      </c>
      <c r="K53" s="12">
        <f t="shared" si="0"/>
        <v>8</v>
      </c>
      <c r="L53" s="13">
        <f t="shared" si="1"/>
        <v>1.1153846153846154</v>
      </c>
    </row>
    <row r="54" spans="1:12" x14ac:dyDescent="0.3">
      <c r="A54" s="8" t="s">
        <v>141</v>
      </c>
      <c r="B54" s="8" t="s">
        <v>12</v>
      </c>
      <c r="C54" s="8" t="s">
        <v>17</v>
      </c>
      <c r="D54" s="8" t="s">
        <v>13</v>
      </c>
      <c r="E54" s="8" t="s">
        <v>82</v>
      </c>
      <c r="F54" s="8" t="s">
        <v>142</v>
      </c>
      <c r="G54" s="9">
        <v>3</v>
      </c>
      <c r="H54" s="9">
        <v>67</v>
      </c>
      <c r="I54" s="9">
        <v>56</v>
      </c>
      <c r="J54" s="10">
        <v>8.0714285714285712</v>
      </c>
      <c r="K54" s="12">
        <f t="shared" si="0"/>
        <v>11</v>
      </c>
      <c r="L54" s="13">
        <f t="shared" si="1"/>
        <v>6.7462686567164178</v>
      </c>
    </row>
    <row r="55" spans="1:12" x14ac:dyDescent="0.3">
      <c r="A55" s="8" t="s">
        <v>143</v>
      </c>
      <c r="B55" s="8" t="s">
        <v>12</v>
      </c>
      <c r="C55" s="8" t="s">
        <v>17</v>
      </c>
      <c r="D55" s="8" t="s">
        <v>13</v>
      </c>
      <c r="E55" s="8" t="s">
        <v>79</v>
      </c>
      <c r="F55" s="8" t="s">
        <v>144</v>
      </c>
      <c r="G55" s="9">
        <v>1</v>
      </c>
      <c r="H55" s="9">
        <v>36</v>
      </c>
      <c r="I55" s="9">
        <v>27</v>
      </c>
      <c r="J55" s="10">
        <v>3.7777777777777777</v>
      </c>
      <c r="K55" s="12">
        <f t="shared" si="0"/>
        <v>9</v>
      </c>
      <c r="L55" s="13">
        <f t="shared" si="1"/>
        <v>2.8333333333333335</v>
      </c>
    </row>
    <row r="56" spans="1:12" x14ac:dyDescent="0.3">
      <c r="A56" s="8" t="s">
        <v>145</v>
      </c>
      <c r="B56" s="8" t="s">
        <v>126</v>
      </c>
      <c r="C56" s="8" t="s">
        <v>12</v>
      </c>
      <c r="D56" s="8" t="s">
        <v>13</v>
      </c>
      <c r="E56" s="8" t="s">
        <v>113</v>
      </c>
      <c r="F56" s="8" t="s">
        <v>146</v>
      </c>
      <c r="G56" s="9">
        <v>3</v>
      </c>
      <c r="H56" s="9">
        <v>74</v>
      </c>
      <c r="I56" s="9">
        <v>64</v>
      </c>
      <c r="J56" s="10">
        <v>5.046875</v>
      </c>
      <c r="K56" s="12">
        <f t="shared" si="0"/>
        <v>10</v>
      </c>
      <c r="L56" s="13">
        <f t="shared" si="1"/>
        <v>4.3648648648648649</v>
      </c>
    </row>
    <row r="57" spans="1:12" x14ac:dyDescent="0.3">
      <c r="A57" s="8" t="s">
        <v>147</v>
      </c>
      <c r="B57" s="8" t="s">
        <v>12</v>
      </c>
      <c r="C57" s="8" t="s">
        <v>17</v>
      </c>
      <c r="D57" s="8" t="s">
        <v>13</v>
      </c>
      <c r="E57" s="8" t="s">
        <v>82</v>
      </c>
      <c r="F57" s="8" t="s">
        <v>148</v>
      </c>
      <c r="G57" s="9">
        <v>4</v>
      </c>
      <c r="H57" s="9">
        <v>77</v>
      </c>
      <c r="I57" s="9">
        <v>53</v>
      </c>
      <c r="J57" s="10">
        <v>2.5849056603773586</v>
      </c>
      <c r="K57" s="12">
        <f t="shared" si="0"/>
        <v>24</v>
      </c>
      <c r="L57" s="13">
        <f t="shared" si="1"/>
        <v>1.7792207792207793</v>
      </c>
    </row>
    <row r="58" spans="1:12" x14ac:dyDescent="0.3">
      <c r="A58" s="8" t="s">
        <v>149</v>
      </c>
      <c r="B58" s="8" t="s">
        <v>12</v>
      </c>
      <c r="C58" s="8" t="s">
        <v>17</v>
      </c>
      <c r="D58" s="8" t="s">
        <v>13</v>
      </c>
      <c r="E58" s="8" t="s">
        <v>76</v>
      </c>
      <c r="F58" s="8" t="s">
        <v>150</v>
      </c>
      <c r="G58" s="9">
        <v>3</v>
      </c>
      <c r="H58" s="9">
        <v>91</v>
      </c>
      <c r="I58" s="9">
        <v>29</v>
      </c>
      <c r="J58" s="10">
        <v>3.6206896551724137</v>
      </c>
      <c r="K58" s="12">
        <f t="shared" si="0"/>
        <v>62</v>
      </c>
      <c r="L58" s="13">
        <f t="shared" si="1"/>
        <v>1.1538461538461537</v>
      </c>
    </row>
    <row r="59" spans="1:12" x14ac:dyDescent="0.3">
      <c r="A59" s="8" t="s">
        <v>151</v>
      </c>
      <c r="B59" s="8" t="s">
        <v>12</v>
      </c>
      <c r="C59" s="8" t="s">
        <v>17</v>
      </c>
      <c r="D59" s="8" t="s">
        <v>13</v>
      </c>
      <c r="E59" s="8" t="s">
        <v>79</v>
      </c>
      <c r="F59" s="8" t="s">
        <v>152</v>
      </c>
      <c r="G59" s="9">
        <v>3</v>
      </c>
      <c r="H59" s="9">
        <v>48</v>
      </c>
      <c r="I59" s="9">
        <v>20</v>
      </c>
      <c r="J59" s="10">
        <v>3.15</v>
      </c>
      <c r="K59" s="12">
        <f t="shared" si="0"/>
        <v>28</v>
      </c>
      <c r="L59" s="13">
        <f t="shared" si="1"/>
        <v>1.3125</v>
      </c>
    </row>
    <row r="60" spans="1:12" x14ac:dyDescent="0.3">
      <c r="A60" s="8" t="s">
        <v>153</v>
      </c>
      <c r="B60" s="8" t="s">
        <v>12</v>
      </c>
      <c r="C60" s="8" t="s">
        <v>17</v>
      </c>
      <c r="D60" s="8" t="s">
        <v>13</v>
      </c>
      <c r="E60" s="8" t="s">
        <v>76</v>
      </c>
      <c r="F60" s="8" t="s">
        <v>154</v>
      </c>
      <c r="G60" s="9">
        <v>4</v>
      </c>
      <c r="H60" s="9">
        <v>131</v>
      </c>
      <c r="I60" s="9">
        <v>128</v>
      </c>
      <c r="J60" s="10">
        <v>4.7734375</v>
      </c>
      <c r="K60" s="12">
        <f t="shared" si="0"/>
        <v>3</v>
      </c>
      <c r="L60" s="13">
        <f t="shared" si="1"/>
        <v>4.66412213740458</v>
      </c>
    </row>
    <row r="61" spans="1:12" x14ac:dyDescent="0.3">
      <c r="A61" s="8" t="s">
        <v>155</v>
      </c>
      <c r="B61" s="8" t="s">
        <v>12</v>
      </c>
      <c r="C61" s="8" t="s">
        <v>17</v>
      </c>
      <c r="D61" s="8" t="s">
        <v>13</v>
      </c>
      <c r="E61" s="8" t="s">
        <v>76</v>
      </c>
      <c r="F61" s="8" t="s">
        <v>156</v>
      </c>
      <c r="G61" s="9">
        <v>1</v>
      </c>
      <c r="H61" s="9">
        <v>33</v>
      </c>
      <c r="I61" s="9">
        <v>28</v>
      </c>
      <c r="J61" s="10">
        <v>2.8928571428571428</v>
      </c>
      <c r="K61" s="12">
        <f t="shared" si="0"/>
        <v>5</v>
      </c>
      <c r="L61" s="13">
        <f t="shared" si="1"/>
        <v>2.4545454545454546</v>
      </c>
    </row>
    <row r="62" spans="1:12" x14ac:dyDescent="0.3">
      <c r="A62" s="8" t="s">
        <v>157</v>
      </c>
      <c r="B62" s="8" t="s">
        <v>25</v>
      </c>
      <c r="C62" s="8" t="s">
        <v>12</v>
      </c>
      <c r="D62" s="8" t="s">
        <v>13</v>
      </c>
      <c r="E62" s="8" t="s">
        <v>26</v>
      </c>
      <c r="F62" s="8" t="s">
        <v>158</v>
      </c>
      <c r="G62" s="9">
        <v>2</v>
      </c>
      <c r="H62" s="9">
        <v>61</v>
      </c>
      <c r="I62" s="9">
        <v>50</v>
      </c>
      <c r="J62" s="10">
        <v>4.6399999999999997</v>
      </c>
      <c r="K62" s="12">
        <f t="shared" si="0"/>
        <v>11</v>
      </c>
      <c r="L62" s="13">
        <f t="shared" si="1"/>
        <v>3.8032786885245895</v>
      </c>
    </row>
    <row r="63" spans="1:12" x14ac:dyDescent="0.3">
      <c r="A63" s="8" t="s">
        <v>159</v>
      </c>
      <c r="B63" s="8" t="s">
        <v>12</v>
      </c>
      <c r="C63" s="8" t="s">
        <v>17</v>
      </c>
      <c r="D63" s="8" t="s">
        <v>13</v>
      </c>
      <c r="E63" s="8" t="s">
        <v>82</v>
      </c>
      <c r="F63" s="8" t="s">
        <v>160</v>
      </c>
      <c r="G63" s="9">
        <v>2</v>
      </c>
      <c r="H63" s="9">
        <v>56</v>
      </c>
      <c r="I63" s="9">
        <v>0</v>
      </c>
      <c r="J63" s="10">
        <v>0</v>
      </c>
      <c r="K63" s="12">
        <f t="shared" si="0"/>
        <v>56</v>
      </c>
      <c r="L63" s="13">
        <f t="shared" si="1"/>
        <v>0</v>
      </c>
    </row>
    <row r="64" spans="1:12" x14ac:dyDescent="0.3">
      <c r="A64" s="8" t="s">
        <v>161</v>
      </c>
      <c r="B64" s="8" t="s">
        <v>12</v>
      </c>
      <c r="C64" s="8" t="s">
        <v>17</v>
      </c>
      <c r="D64" s="8" t="s">
        <v>13</v>
      </c>
      <c r="E64" s="8" t="s">
        <v>76</v>
      </c>
      <c r="F64" s="8" t="s">
        <v>162</v>
      </c>
      <c r="G64" s="9">
        <v>3</v>
      </c>
      <c r="H64" s="9">
        <v>67</v>
      </c>
      <c r="I64" s="9">
        <v>37</v>
      </c>
      <c r="J64" s="10">
        <v>4.5405405405405403</v>
      </c>
      <c r="K64" s="12">
        <f t="shared" si="0"/>
        <v>30</v>
      </c>
      <c r="L64" s="13">
        <f t="shared" si="1"/>
        <v>2.5074626865671643</v>
      </c>
    </row>
    <row r="65" spans="1:12" x14ac:dyDescent="0.3">
      <c r="A65" s="8" t="s">
        <v>163</v>
      </c>
      <c r="B65" s="8" t="s">
        <v>164</v>
      </c>
      <c r="C65" s="8" t="s">
        <v>12</v>
      </c>
      <c r="D65" s="8" t="s">
        <v>13</v>
      </c>
      <c r="E65" s="8" t="s">
        <v>123</v>
      </c>
      <c r="F65" s="8" t="s">
        <v>165</v>
      </c>
      <c r="G65" s="9">
        <v>7</v>
      </c>
      <c r="H65" s="9">
        <v>181</v>
      </c>
      <c r="I65" s="9">
        <v>163</v>
      </c>
      <c r="J65" s="10">
        <v>9.9815950920245395</v>
      </c>
      <c r="K65" s="12">
        <f t="shared" si="0"/>
        <v>18</v>
      </c>
      <c r="L65" s="13">
        <f t="shared" si="1"/>
        <v>8.9889502762430933</v>
      </c>
    </row>
    <row r="66" spans="1:12" x14ac:dyDescent="0.3">
      <c r="A66" s="8" t="s">
        <v>166</v>
      </c>
      <c r="B66" s="8" t="s">
        <v>126</v>
      </c>
      <c r="C66" s="8" t="s">
        <v>12</v>
      </c>
      <c r="D66" s="8" t="s">
        <v>13</v>
      </c>
      <c r="E66" s="8" t="s">
        <v>113</v>
      </c>
      <c r="F66" s="8" t="s">
        <v>167</v>
      </c>
      <c r="G66" s="9">
        <v>3</v>
      </c>
      <c r="H66" s="9">
        <v>66</v>
      </c>
      <c r="I66" s="9">
        <v>14</v>
      </c>
      <c r="J66" s="10">
        <v>1.8571428571428572</v>
      </c>
      <c r="K66" s="12">
        <f t="shared" si="0"/>
        <v>52</v>
      </c>
      <c r="L66" s="13">
        <f t="shared" si="1"/>
        <v>0.39393939393939392</v>
      </c>
    </row>
    <row r="67" spans="1:12" x14ac:dyDescent="0.3">
      <c r="A67" s="8" t="s">
        <v>168</v>
      </c>
      <c r="B67" s="8" t="s">
        <v>12</v>
      </c>
      <c r="C67" s="8" t="s">
        <v>17</v>
      </c>
      <c r="D67" s="8" t="s">
        <v>13</v>
      </c>
      <c r="E67" s="8" t="s">
        <v>82</v>
      </c>
      <c r="F67" s="8" t="s">
        <v>169</v>
      </c>
      <c r="G67" s="9">
        <v>1</v>
      </c>
      <c r="H67" s="9">
        <v>18</v>
      </c>
      <c r="I67" s="9">
        <v>17</v>
      </c>
      <c r="J67" s="10">
        <v>5.882352941176471</v>
      </c>
      <c r="K67" s="12">
        <f t="shared" ref="K67:K130" si="2">H67-I67</f>
        <v>1</v>
      </c>
      <c r="L67" s="13">
        <f t="shared" ref="L67:L130" si="3">(K67*0+J67*I67)/H67</f>
        <v>5.5555555555555554</v>
      </c>
    </row>
    <row r="68" spans="1:12" x14ac:dyDescent="0.3">
      <c r="A68" s="8" t="s">
        <v>170</v>
      </c>
      <c r="B68" s="8" t="s">
        <v>103</v>
      </c>
      <c r="C68" s="8" t="s">
        <v>12</v>
      </c>
      <c r="D68" s="8" t="s">
        <v>13</v>
      </c>
      <c r="E68" s="8" t="s">
        <v>104</v>
      </c>
      <c r="F68" s="8" t="s">
        <v>171</v>
      </c>
      <c r="G68" s="9">
        <v>4</v>
      </c>
      <c r="H68" s="9">
        <v>91</v>
      </c>
      <c r="I68" s="9">
        <v>63</v>
      </c>
      <c r="J68" s="10">
        <v>2.9841269841269842</v>
      </c>
      <c r="K68" s="12">
        <f t="shared" si="2"/>
        <v>28</v>
      </c>
      <c r="L68" s="13">
        <f t="shared" si="3"/>
        <v>2.0659340659340661</v>
      </c>
    </row>
    <row r="69" spans="1:12" x14ac:dyDescent="0.3">
      <c r="A69" s="8" t="s">
        <v>172</v>
      </c>
      <c r="B69" s="8" t="s">
        <v>12</v>
      </c>
      <c r="C69" s="8" t="s">
        <v>17</v>
      </c>
      <c r="D69" s="8" t="s">
        <v>13</v>
      </c>
      <c r="E69" s="8" t="s">
        <v>82</v>
      </c>
      <c r="F69" s="8" t="s">
        <v>173</v>
      </c>
      <c r="G69" s="9">
        <v>2</v>
      </c>
      <c r="H69" s="9">
        <v>32</v>
      </c>
      <c r="I69" s="9">
        <v>1</v>
      </c>
      <c r="J69" s="10">
        <v>2</v>
      </c>
      <c r="K69" s="12">
        <f t="shared" si="2"/>
        <v>31</v>
      </c>
      <c r="L69" s="13">
        <f t="shared" si="3"/>
        <v>6.25E-2</v>
      </c>
    </row>
    <row r="70" spans="1:12" x14ac:dyDescent="0.3">
      <c r="A70" s="8" t="s">
        <v>174</v>
      </c>
      <c r="B70" s="8" t="s">
        <v>164</v>
      </c>
      <c r="C70" s="8" t="s">
        <v>12</v>
      </c>
      <c r="D70" s="8" t="s">
        <v>13</v>
      </c>
      <c r="E70" s="8" t="s">
        <v>123</v>
      </c>
      <c r="F70" s="8" t="s">
        <v>175</v>
      </c>
      <c r="G70" s="9">
        <v>6</v>
      </c>
      <c r="H70" s="9">
        <v>197</v>
      </c>
      <c r="I70" s="9">
        <v>181</v>
      </c>
      <c r="J70" s="10">
        <v>7.972375690607735</v>
      </c>
      <c r="K70" s="12">
        <f t="shared" si="2"/>
        <v>16</v>
      </c>
      <c r="L70" s="13">
        <f t="shared" si="3"/>
        <v>7.3248730964467006</v>
      </c>
    </row>
    <row r="71" spans="1:12" x14ac:dyDescent="0.3">
      <c r="A71" s="8" t="s">
        <v>176</v>
      </c>
      <c r="B71" s="8" t="s">
        <v>164</v>
      </c>
      <c r="C71" s="8" t="s">
        <v>12</v>
      </c>
      <c r="D71" s="8" t="s">
        <v>13</v>
      </c>
      <c r="E71" s="8" t="s">
        <v>123</v>
      </c>
      <c r="F71" s="8" t="s">
        <v>177</v>
      </c>
      <c r="G71" s="9">
        <v>7</v>
      </c>
      <c r="H71" s="9">
        <v>234</v>
      </c>
      <c r="I71" s="9">
        <v>214</v>
      </c>
      <c r="J71" s="10">
        <v>4.5</v>
      </c>
      <c r="K71" s="12">
        <f t="shared" si="2"/>
        <v>20</v>
      </c>
      <c r="L71" s="13">
        <f t="shared" si="3"/>
        <v>4.115384615384615</v>
      </c>
    </row>
    <row r="72" spans="1:12" x14ac:dyDescent="0.3">
      <c r="A72" s="8" t="s">
        <v>178</v>
      </c>
      <c r="B72" s="8" t="s">
        <v>12</v>
      </c>
      <c r="C72" s="8" t="s">
        <v>17</v>
      </c>
      <c r="D72" s="8" t="s">
        <v>13</v>
      </c>
      <c r="E72" s="8" t="s">
        <v>79</v>
      </c>
      <c r="F72" s="8" t="s">
        <v>179</v>
      </c>
      <c r="G72" s="9">
        <v>4</v>
      </c>
      <c r="H72" s="9">
        <v>80</v>
      </c>
      <c r="I72" s="9">
        <v>45</v>
      </c>
      <c r="J72" s="10">
        <v>2.2444444444444445</v>
      </c>
      <c r="K72" s="12">
        <f t="shared" si="2"/>
        <v>35</v>
      </c>
      <c r="L72" s="13">
        <f t="shared" si="3"/>
        <v>1.2625</v>
      </c>
    </row>
    <row r="73" spans="1:12" x14ac:dyDescent="0.3">
      <c r="A73" s="8" t="s">
        <v>180</v>
      </c>
      <c r="B73" s="8" t="s">
        <v>164</v>
      </c>
      <c r="C73" s="8" t="s">
        <v>12</v>
      </c>
      <c r="D73" s="8" t="s">
        <v>13</v>
      </c>
      <c r="E73" s="8" t="s">
        <v>104</v>
      </c>
      <c r="F73" s="8" t="s">
        <v>181</v>
      </c>
      <c r="G73" s="9">
        <v>5</v>
      </c>
      <c r="H73" s="9">
        <v>131</v>
      </c>
      <c r="I73" s="9">
        <v>88</v>
      </c>
      <c r="J73" s="10">
        <v>1.6136363636363635</v>
      </c>
      <c r="K73" s="12">
        <f t="shared" si="2"/>
        <v>43</v>
      </c>
      <c r="L73" s="13">
        <f t="shared" si="3"/>
        <v>1.083969465648855</v>
      </c>
    </row>
    <row r="74" spans="1:12" x14ac:dyDescent="0.3">
      <c r="A74" s="8" t="s">
        <v>182</v>
      </c>
      <c r="B74" s="8" t="s">
        <v>164</v>
      </c>
      <c r="C74" s="8" t="s">
        <v>12</v>
      </c>
      <c r="D74" s="8" t="s">
        <v>13</v>
      </c>
      <c r="E74" s="8" t="s">
        <v>123</v>
      </c>
      <c r="F74" s="8" t="s">
        <v>183</v>
      </c>
      <c r="G74" s="9">
        <v>6</v>
      </c>
      <c r="H74" s="9">
        <v>184</v>
      </c>
      <c r="I74" s="9">
        <v>166</v>
      </c>
      <c r="J74" s="10">
        <v>4.6144578313253009</v>
      </c>
      <c r="K74" s="12">
        <f t="shared" si="2"/>
        <v>18</v>
      </c>
      <c r="L74" s="13">
        <f t="shared" si="3"/>
        <v>4.1630434782608692</v>
      </c>
    </row>
    <row r="75" spans="1:12" x14ac:dyDescent="0.3">
      <c r="A75" s="8" t="s">
        <v>184</v>
      </c>
      <c r="B75" s="8" t="s">
        <v>12</v>
      </c>
      <c r="C75" s="8" t="s">
        <v>17</v>
      </c>
      <c r="D75" s="8" t="s">
        <v>13</v>
      </c>
      <c r="E75" s="8" t="s">
        <v>76</v>
      </c>
      <c r="F75" s="8" t="s">
        <v>185</v>
      </c>
      <c r="G75" s="9">
        <v>2</v>
      </c>
      <c r="H75" s="9">
        <v>44</v>
      </c>
      <c r="I75" s="9">
        <v>10</v>
      </c>
      <c r="J75" s="10">
        <v>2</v>
      </c>
      <c r="K75" s="12">
        <f t="shared" si="2"/>
        <v>34</v>
      </c>
      <c r="L75" s="13">
        <f t="shared" si="3"/>
        <v>0.45454545454545453</v>
      </c>
    </row>
    <row r="76" spans="1:12" x14ac:dyDescent="0.3">
      <c r="A76" s="8" t="s">
        <v>186</v>
      </c>
      <c r="B76" s="8" t="s">
        <v>25</v>
      </c>
      <c r="C76" s="8" t="s">
        <v>12</v>
      </c>
      <c r="D76" s="8" t="s">
        <v>13</v>
      </c>
      <c r="E76" s="8" t="s">
        <v>104</v>
      </c>
      <c r="F76" s="8" t="s">
        <v>187</v>
      </c>
      <c r="G76" s="9">
        <v>4</v>
      </c>
      <c r="H76" s="9">
        <v>102</v>
      </c>
      <c r="I76" s="9">
        <v>56</v>
      </c>
      <c r="J76" s="10">
        <v>3.5178571428571428</v>
      </c>
      <c r="K76" s="12">
        <f t="shared" si="2"/>
        <v>46</v>
      </c>
      <c r="L76" s="13">
        <f t="shared" si="3"/>
        <v>1.9313725490196079</v>
      </c>
    </row>
    <row r="77" spans="1:12" x14ac:dyDescent="0.3">
      <c r="A77" s="8" t="s">
        <v>188</v>
      </c>
      <c r="B77" s="8" t="s">
        <v>12</v>
      </c>
      <c r="C77" s="8" t="s">
        <v>17</v>
      </c>
      <c r="D77" s="8" t="s">
        <v>49</v>
      </c>
      <c r="E77" s="8" t="s">
        <v>189</v>
      </c>
      <c r="F77" s="8" t="s">
        <v>190</v>
      </c>
      <c r="G77" s="9">
        <v>8</v>
      </c>
      <c r="H77" s="9">
        <v>189</v>
      </c>
      <c r="I77" s="9">
        <v>156</v>
      </c>
      <c r="J77" s="10">
        <v>7.5769230769230766</v>
      </c>
      <c r="K77" s="12">
        <f t="shared" si="2"/>
        <v>33</v>
      </c>
      <c r="L77" s="13">
        <f t="shared" si="3"/>
        <v>6.253968253968254</v>
      </c>
    </row>
    <row r="78" spans="1:12" x14ac:dyDescent="0.3">
      <c r="A78" s="8" t="s">
        <v>191</v>
      </c>
      <c r="B78" s="8" t="s">
        <v>192</v>
      </c>
      <c r="C78" s="8" t="s">
        <v>12</v>
      </c>
      <c r="D78" s="8" t="s">
        <v>49</v>
      </c>
      <c r="E78" s="8" t="s">
        <v>123</v>
      </c>
      <c r="F78" s="8" t="s">
        <v>193</v>
      </c>
      <c r="G78" s="9">
        <v>4</v>
      </c>
      <c r="H78" s="9">
        <v>78</v>
      </c>
      <c r="I78" s="9">
        <v>71</v>
      </c>
      <c r="J78" s="10">
        <v>5.070422535211268</v>
      </c>
      <c r="K78" s="12">
        <f t="shared" si="2"/>
        <v>7</v>
      </c>
      <c r="L78" s="13">
        <f t="shared" si="3"/>
        <v>4.615384615384615</v>
      </c>
    </row>
    <row r="79" spans="1:12" x14ac:dyDescent="0.3">
      <c r="A79" s="8" t="s">
        <v>194</v>
      </c>
      <c r="B79" s="8" t="s">
        <v>12</v>
      </c>
      <c r="C79" s="8" t="s">
        <v>17</v>
      </c>
      <c r="D79" s="8" t="s">
        <v>49</v>
      </c>
      <c r="E79" s="8" t="s">
        <v>195</v>
      </c>
      <c r="F79" s="8" t="s">
        <v>196</v>
      </c>
      <c r="G79" s="9">
        <v>6</v>
      </c>
      <c r="H79" s="9">
        <v>192</v>
      </c>
      <c r="I79" s="9">
        <v>190</v>
      </c>
      <c r="J79" s="10">
        <v>9.3000000000000007</v>
      </c>
      <c r="K79" s="12">
        <f t="shared" si="2"/>
        <v>2</v>
      </c>
      <c r="L79" s="13">
        <f t="shared" si="3"/>
        <v>9.2031250000000018</v>
      </c>
    </row>
    <row r="80" spans="1:12" x14ac:dyDescent="0.3">
      <c r="A80" s="8" t="s">
        <v>197</v>
      </c>
      <c r="B80" s="8" t="s">
        <v>12</v>
      </c>
      <c r="C80" s="8" t="s">
        <v>17</v>
      </c>
      <c r="D80" s="8" t="s">
        <v>49</v>
      </c>
      <c r="E80" s="8" t="s">
        <v>195</v>
      </c>
      <c r="F80" s="8" t="s">
        <v>198</v>
      </c>
      <c r="G80" s="9">
        <v>5</v>
      </c>
      <c r="H80" s="9">
        <v>130</v>
      </c>
      <c r="I80" s="9">
        <v>78</v>
      </c>
      <c r="J80" s="10">
        <v>2.3461538461538463</v>
      </c>
      <c r="K80" s="12">
        <f t="shared" si="2"/>
        <v>52</v>
      </c>
      <c r="L80" s="13">
        <f t="shared" si="3"/>
        <v>1.4076923076923078</v>
      </c>
    </row>
    <row r="81" spans="1:12" x14ac:dyDescent="0.3">
      <c r="A81" s="8" t="s">
        <v>199</v>
      </c>
      <c r="B81" s="8" t="s">
        <v>12</v>
      </c>
      <c r="C81" s="8" t="s">
        <v>17</v>
      </c>
      <c r="D81" s="8" t="s">
        <v>49</v>
      </c>
      <c r="E81" s="8" t="s">
        <v>195</v>
      </c>
      <c r="F81" s="8" t="s">
        <v>200</v>
      </c>
      <c r="G81" s="9">
        <v>6</v>
      </c>
      <c r="H81" s="9">
        <v>146</v>
      </c>
      <c r="I81" s="9">
        <v>48</v>
      </c>
      <c r="J81" s="10">
        <v>7.083333333333333</v>
      </c>
      <c r="K81" s="12">
        <f t="shared" si="2"/>
        <v>98</v>
      </c>
      <c r="L81" s="13">
        <f t="shared" si="3"/>
        <v>2.3287671232876712</v>
      </c>
    </row>
    <row r="82" spans="1:12" x14ac:dyDescent="0.3">
      <c r="A82" s="8" t="s">
        <v>201</v>
      </c>
      <c r="B82" s="8" t="s">
        <v>12</v>
      </c>
      <c r="C82" s="8" t="s">
        <v>17</v>
      </c>
      <c r="D82" s="8" t="s">
        <v>49</v>
      </c>
      <c r="E82" s="8" t="s">
        <v>67</v>
      </c>
      <c r="F82" s="8" t="s">
        <v>202</v>
      </c>
      <c r="G82" s="9">
        <v>4</v>
      </c>
      <c r="H82" s="9">
        <v>114</v>
      </c>
      <c r="I82" s="9">
        <v>33</v>
      </c>
      <c r="J82" s="10">
        <v>6</v>
      </c>
      <c r="K82" s="12">
        <f t="shared" si="2"/>
        <v>81</v>
      </c>
      <c r="L82" s="13">
        <f t="shared" si="3"/>
        <v>1.736842105263158</v>
      </c>
    </row>
    <row r="83" spans="1:12" x14ac:dyDescent="0.3">
      <c r="A83" s="8" t="s">
        <v>203</v>
      </c>
      <c r="B83" s="8" t="s">
        <v>12</v>
      </c>
      <c r="C83" s="8" t="s">
        <v>17</v>
      </c>
      <c r="D83" s="8" t="s">
        <v>49</v>
      </c>
      <c r="E83" s="8" t="s">
        <v>195</v>
      </c>
      <c r="F83" s="8" t="s">
        <v>204</v>
      </c>
      <c r="G83" s="9">
        <v>2</v>
      </c>
      <c r="H83" s="9">
        <v>52</v>
      </c>
      <c r="I83" s="9">
        <v>44</v>
      </c>
      <c r="J83" s="10">
        <v>5</v>
      </c>
      <c r="K83" s="12">
        <f t="shared" si="2"/>
        <v>8</v>
      </c>
      <c r="L83" s="13">
        <f t="shared" si="3"/>
        <v>4.2307692307692308</v>
      </c>
    </row>
    <row r="84" spans="1:12" x14ac:dyDescent="0.3">
      <c r="A84" s="8" t="s">
        <v>205</v>
      </c>
      <c r="B84" s="8" t="s">
        <v>12</v>
      </c>
      <c r="C84" s="8" t="s">
        <v>17</v>
      </c>
      <c r="D84" s="8" t="s">
        <v>49</v>
      </c>
      <c r="E84" s="8" t="s">
        <v>67</v>
      </c>
      <c r="F84" s="8" t="s">
        <v>206</v>
      </c>
      <c r="G84" s="9">
        <v>3</v>
      </c>
      <c r="H84" s="9">
        <v>119</v>
      </c>
      <c r="I84" s="9">
        <v>89</v>
      </c>
      <c r="J84" s="10">
        <v>4.6966292134831464</v>
      </c>
      <c r="K84" s="12">
        <f t="shared" si="2"/>
        <v>30</v>
      </c>
      <c r="L84" s="13">
        <f t="shared" si="3"/>
        <v>3.5126050420168071</v>
      </c>
    </row>
    <row r="85" spans="1:12" x14ac:dyDescent="0.3">
      <c r="A85" s="8" t="s">
        <v>207</v>
      </c>
      <c r="B85" s="8" t="s">
        <v>12</v>
      </c>
      <c r="C85" s="8" t="s">
        <v>17</v>
      </c>
      <c r="D85" s="8" t="s">
        <v>13</v>
      </c>
      <c r="E85" s="8" t="s">
        <v>82</v>
      </c>
      <c r="F85" s="8" t="s">
        <v>208</v>
      </c>
      <c r="G85" s="9">
        <v>3</v>
      </c>
      <c r="H85" s="9">
        <v>67</v>
      </c>
      <c r="I85" s="9">
        <v>1</v>
      </c>
      <c r="J85" s="10">
        <v>4</v>
      </c>
      <c r="K85" s="12">
        <f t="shared" si="2"/>
        <v>66</v>
      </c>
      <c r="L85" s="13">
        <f t="shared" si="3"/>
        <v>5.9701492537313432E-2</v>
      </c>
    </row>
    <row r="86" spans="1:12" x14ac:dyDescent="0.3">
      <c r="A86" s="8" t="s">
        <v>209</v>
      </c>
      <c r="B86" s="8" t="s">
        <v>12</v>
      </c>
      <c r="C86" s="8" t="s">
        <v>17</v>
      </c>
      <c r="D86" s="8" t="s">
        <v>13</v>
      </c>
      <c r="E86" s="8" t="s">
        <v>76</v>
      </c>
      <c r="F86" s="8" t="s">
        <v>210</v>
      </c>
      <c r="G86" s="9">
        <v>3</v>
      </c>
      <c r="H86" s="9">
        <v>57</v>
      </c>
      <c r="I86" s="9">
        <v>0</v>
      </c>
      <c r="J86" s="10">
        <v>0</v>
      </c>
      <c r="K86" s="12">
        <f t="shared" si="2"/>
        <v>57</v>
      </c>
      <c r="L86" s="13">
        <f t="shared" si="3"/>
        <v>0</v>
      </c>
    </row>
    <row r="87" spans="1:12" x14ac:dyDescent="0.3">
      <c r="A87" s="8" t="s">
        <v>211</v>
      </c>
      <c r="B87" s="8" t="s">
        <v>12</v>
      </c>
      <c r="C87" s="8" t="s">
        <v>17</v>
      </c>
      <c r="D87" s="8" t="s">
        <v>13</v>
      </c>
      <c r="E87" s="8" t="s">
        <v>82</v>
      </c>
      <c r="F87" s="8" t="s">
        <v>212</v>
      </c>
      <c r="G87" s="9">
        <v>5</v>
      </c>
      <c r="H87" s="9">
        <v>108</v>
      </c>
      <c r="I87" s="9">
        <v>96</v>
      </c>
      <c r="J87" s="10">
        <v>2.875</v>
      </c>
      <c r="K87" s="12">
        <f t="shared" si="2"/>
        <v>12</v>
      </c>
      <c r="L87" s="13">
        <f t="shared" si="3"/>
        <v>2.5555555555555554</v>
      </c>
    </row>
    <row r="88" spans="1:12" x14ac:dyDescent="0.3">
      <c r="A88" s="8" t="s">
        <v>213</v>
      </c>
      <c r="B88" s="8" t="s">
        <v>103</v>
      </c>
      <c r="C88" s="8" t="s">
        <v>12</v>
      </c>
      <c r="D88" s="8" t="s">
        <v>13</v>
      </c>
      <c r="E88" s="8" t="s">
        <v>123</v>
      </c>
      <c r="F88" s="8" t="s">
        <v>214</v>
      </c>
      <c r="G88" s="9">
        <v>7</v>
      </c>
      <c r="H88" s="9">
        <v>160</v>
      </c>
      <c r="I88" s="9">
        <v>126</v>
      </c>
      <c r="J88" s="10">
        <v>3.7777777777777777</v>
      </c>
      <c r="K88" s="12">
        <f t="shared" si="2"/>
        <v>34</v>
      </c>
      <c r="L88" s="13">
        <f t="shared" si="3"/>
        <v>2.9750000000000001</v>
      </c>
    </row>
    <row r="89" spans="1:12" x14ac:dyDescent="0.3">
      <c r="A89" s="8" t="s">
        <v>215</v>
      </c>
      <c r="B89" s="8" t="s">
        <v>12</v>
      </c>
      <c r="C89" s="8" t="s">
        <v>17</v>
      </c>
      <c r="D89" s="8" t="s">
        <v>49</v>
      </c>
      <c r="E89" s="8" t="s">
        <v>195</v>
      </c>
      <c r="F89" s="8" t="s">
        <v>216</v>
      </c>
      <c r="G89" s="9">
        <v>3</v>
      </c>
      <c r="H89" s="9">
        <v>83</v>
      </c>
      <c r="I89" s="9">
        <v>79</v>
      </c>
      <c r="J89" s="10">
        <v>11.860759493670885</v>
      </c>
      <c r="K89" s="12">
        <f t="shared" si="2"/>
        <v>4</v>
      </c>
      <c r="L89" s="13">
        <f t="shared" si="3"/>
        <v>11.289156626506022</v>
      </c>
    </row>
    <row r="90" spans="1:12" x14ac:dyDescent="0.3">
      <c r="A90" s="8" t="s">
        <v>217</v>
      </c>
      <c r="B90" s="8" t="s">
        <v>126</v>
      </c>
      <c r="C90" s="8" t="s">
        <v>12</v>
      </c>
      <c r="D90" s="8" t="s">
        <v>13</v>
      </c>
      <c r="E90" s="8" t="s">
        <v>113</v>
      </c>
      <c r="F90" s="8" t="s">
        <v>218</v>
      </c>
      <c r="G90" s="9">
        <v>4</v>
      </c>
      <c r="H90" s="9">
        <v>85</v>
      </c>
      <c r="I90" s="9">
        <v>59</v>
      </c>
      <c r="J90" s="10">
        <v>3.4406779661016951</v>
      </c>
      <c r="K90" s="12">
        <f t="shared" si="2"/>
        <v>26</v>
      </c>
      <c r="L90" s="13">
        <f t="shared" si="3"/>
        <v>2.388235294117647</v>
      </c>
    </row>
    <row r="91" spans="1:12" x14ac:dyDescent="0.3">
      <c r="A91" s="8" t="s">
        <v>219</v>
      </c>
      <c r="B91" s="8" t="s">
        <v>12</v>
      </c>
      <c r="C91" s="8" t="s">
        <v>17</v>
      </c>
      <c r="D91" s="8" t="s">
        <v>13</v>
      </c>
      <c r="E91" s="8" t="s">
        <v>76</v>
      </c>
      <c r="F91" s="8" t="s">
        <v>220</v>
      </c>
      <c r="G91" s="9">
        <v>2</v>
      </c>
      <c r="H91" s="9">
        <v>33</v>
      </c>
      <c r="I91" s="9">
        <v>3</v>
      </c>
      <c r="J91" s="10">
        <v>1</v>
      </c>
      <c r="K91" s="12">
        <f t="shared" si="2"/>
        <v>30</v>
      </c>
      <c r="L91" s="13">
        <f t="shared" si="3"/>
        <v>9.0909090909090912E-2</v>
      </c>
    </row>
    <row r="92" spans="1:12" x14ac:dyDescent="0.3">
      <c r="A92" s="8" t="s">
        <v>221</v>
      </c>
      <c r="B92" s="8" t="s">
        <v>164</v>
      </c>
      <c r="C92" s="8" t="s">
        <v>12</v>
      </c>
      <c r="D92" s="8" t="s">
        <v>13</v>
      </c>
      <c r="E92" s="8" t="s">
        <v>104</v>
      </c>
      <c r="F92" s="8" t="s">
        <v>222</v>
      </c>
      <c r="G92" s="9">
        <v>7</v>
      </c>
      <c r="H92" s="9">
        <v>197</v>
      </c>
      <c r="I92" s="9">
        <v>68</v>
      </c>
      <c r="J92" s="10">
        <v>2.0441176470588234</v>
      </c>
      <c r="K92" s="12">
        <f t="shared" si="2"/>
        <v>129</v>
      </c>
      <c r="L92" s="13">
        <f t="shared" si="3"/>
        <v>0.70558375634517767</v>
      </c>
    </row>
    <row r="93" spans="1:12" x14ac:dyDescent="0.3">
      <c r="A93" s="8" t="s">
        <v>223</v>
      </c>
      <c r="B93" s="8" t="s">
        <v>12</v>
      </c>
      <c r="C93" s="8" t="s">
        <v>17</v>
      </c>
      <c r="D93" s="8" t="s">
        <v>49</v>
      </c>
      <c r="E93" s="8" t="s">
        <v>50</v>
      </c>
      <c r="F93" s="8" t="s">
        <v>224</v>
      </c>
      <c r="G93" s="9">
        <v>2</v>
      </c>
      <c r="H93" s="9">
        <v>40</v>
      </c>
      <c r="I93" s="9">
        <v>0</v>
      </c>
      <c r="J93" s="10">
        <v>0</v>
      </c>
      <c r="K93" s="12">
        <f t="shared" si="2"/>
        <v>40</v>
      </c>
      <c r="L93" s="13">
        <f t="shared" si="3"/>
        <v>0</v>
      </c>
    </row>
    <row r="94" spans="1:12" x14ac:dyDescent="0.3">
      <c r="A94" s="8" t="s">
        <v>225</v>
      </c>
      <c r="B94" s="8" t="s">
        <v>12</v>
      </c>
      <c r="C94" s="8" t="s">
        <v>17</v>
      </c>
      <c r="D94" s="8" t="s">
        <v>13</v>
      </c>
      <c r="E94" s="8" t="s">
        <v>79</v>
      </c>
      <c r="F94" s="8" t="s">
        <v>226</v>
      </c>
      <c r="G94" s="9">
        <v>3</v>
      </c>
      <c r="H94" s="9">
        <v>71</v>
      </c>
      <c r="I94" s="9">
        <v>56</v>
      </c>
      <c r="J94" s="10">
        <v>3.3392857142857144</v>
      </c>
      <c r="K94" s="12">
        <f t="shared" si="2"/>
        <v>15</v>
      </c>
      <c r="L94" s="13">
        <f t="shared" si="3"/>
        <v>2.6338028169014085</v>
      </c>
    </row>
    <row r="95" spans="1:12" x14ac:dyDescent="0.3">
      <c r="A95" s="8" t="s">
        <v>227</v>
      </c>
      <c r="B95" s="8" t="s">
        <v>12</v>
      </c>
      <c r="C95" s="8" t="s">
        <v>17</v>
      </c>
      <c r="D95" s="8" t="s">
        <v>13</v>
      </c>
      <c r="E95" s="8" t="s">
        <v>79</v>
      </c>
      <c r="F95" s="8" t="s">
        <v>228</v>
      </c>
      <c r="G95" s="9">
        <v>3</v>
      </c>
      <c r="H95" s="9">
        <v>50</v>
      </c>
      <c r="I95" s="9">
        <v>36</v>
      </c>
      <c r="J95" s="10">
        <v>1.8611111111111112</v>
      </c>
      <c r="K95" s="12">
        <f t="shared" si="2"/>
        <v>14</v>
      </c>
      <c r="L95" s="13">
        <f t="shared" si="3"/>
        <v>1.34</v>
      </c>
    </row>
    <row r="96" spans="1:12" x14ac:dyDescent="0.3">
      <c r="A96" s="8" t="s">
        <v>229</v>
      </c>
      <c r="B96" s="8" t="s">
        <v>12</v>
      </c>
      <c r="C96" s="8" t="s">
        <v>17</v>
      </c>
      <c r="D96" s="8" t="s">
        <v>13</v>
      </c>
      <c r="E96" s="8" t="s">
        <v>82</v>
      </c>
      <c r="F96" s="8" t="s">
        <v>230</v>
      </c>
      <c r="G96" s="9">
        <v>4</v>
      </c>
      <c r="H96" s="9">
        <v>82</v>
      </c>
      <c r="I96" s="9">
        <v>21</v>
      </c>
      <c r="J96" s="10">
        <v>2.1904761904761907</v>
      </c>
      <c r="K96" s="12">
        <f t="shared" si="2"/>
        <v>61</v>
      </c>
      <c r="L96" s="13">
        <f t="shared" si="3"/>
        <v>0.56097560975609762</v>
      </c>
    </row>
    <row r="97" spans="1:12" x14ac:dyDescent="0.3">
      <c r="A97" s="8" t="s">
        <v>231</v>
      </c>
      <c r="B97" s="8" t="s">
        <v>12</v>
      </c>
      <c r="C97" s="8" t="s">
        <v>17</v>
      </c>
      <c r="D97" s="8" t="s">
        <v>13</v>
      </c>
      <c r="E97" s="8" t="s">
        <v>82</v>
      </c>
      <c r="F97" s="8" t="s">
        <v>232</v>
      </c>
      <c r="G97" s="9">
        <v>6</v>
      </c>
      <c r="H97" s="9">
        <v>182</v>
      </c>
      <c r="I97" s="9">
        <v>140</v>
      </c>
      <c r="J97" s="10">
        <v>1.8214285714285714</v>
      </c>
      <c r="K97" s="12">
        <f t="shared" si="2"/>
        <v>42</v>
      </c>
      <c r="L97" s="13">
        <f t="shared" si="3"/>
        <v>1.401098901098901</v>
      </c>
    </row>
    <row r="98" spans="1:12" x14ac:dyDescent="0.3">
      <c r="A98" s="8" t="s">
        <v>233</v>
      </c>
      <c r="B98" s="8" t="s">
        <v>12</v>
      </c>
      <c r="C98" s="8" t="s">
        <v>17</v>
      </c>
      <c r="D98" s="8" t="s">
        <v>13</v>
      </c>
      <c r="E98" s="8" t="s">
        <v>76</v>
      </c>
      <c r="F98" s="8" t="s">
        <v>234</v>
      </c>
      <c r="G98" s="9">
        <v>4</v>
      </c>
      <c r="H98" s="9">
        <v>90</v>
      </c>
      <c r="I98" s="9">
        <v>70</v>
      </c>
      <c r="J98" s="10">
        <v>2.4142857142857141</v>
      </c>
      <c r="K98" s="12">
        <f t="shared" si="2"/>
        <v>20</v>
      </c>
      <c r="L98" s="13">
        <f t="shared" si="3"/>
        <v>1.8777777777777778</v>
      </c>
    </row>
    <row r="99" spans="1:12" x14ac:dyDescent="0.3">
      <c r="A99" s="8" t="s">
        <v>235</v>
      </c>
      <c r="B99" s="8" t="s">
        <v>126</v>
      </c>
      <c r="C99" s="8" t="s">
        <v>12</v>
      </c>
      <c r="D99" s="8" t="s">
        <v>13</v>
      </c>
      <c r="E99" s="8" t="s">
        <v>123</v>
      </c>
      <c r="F99" s="8" t="s">
        <v>236</v>
      </c>
      <c r="G99" s="9">
        <v>7</v>
      </c>
      <c r="H99" s="9">
        <v>185</v>
      </c>
      <c r="I99" s="9">
        <v>160</v>
      </c>
      <c r="J99" s="10">
        <v>7.7625000000000002</v>
      </c>
      <c r="K99" s="12">
        <f t="shared" si="2"/>
        <v>25</v>
      </c>
      <c r="L99" s="13">
        <f t="shared" si="3"/>
        <v>6.7135135135135133</v>
      </c>
    </row>
    <row r="100" spans="1:12" x14ac:dyDescent="0.3">
      <c r="A100" s="8" t="s">
        <v>237</v>
      </c>
      <c r="B100" s="8" t="s">
        <v>12</v>
      </c>
      <c r="C100" s="8" t="s">
        <v>17</v>
      </c>
      <c r="D100" s="8" t="s">
        <v>49</v>
      </c>
      <c r="E100" s="8" t="s">
        <v>60</v>
      </c>
      <c r="F100" s="8" t="s">
        <v>238</v>
      </c>
      <c r="G100" s="9">
        <v>7</v>
      </c>
      <c r="H100" s="9">
        <v>185</v>
      </c>
      <c r="I100" s="9">
        <v>170</v>
      </c>
      <c r="J100" s="10">
        <v>4.7588235294117647</v>
      </c>
      <c r="K100" s="12">
        <f t="shared" si="2"/>
        <v>15</v>
      </c>
      <c r="L100" s="13">
        <f t="shared" si="3"/>
        <v>4.3729729729729732</v>
      </c>
    </row>
    <row r="101" spans="1:12" x14ac:dyDescent="0.3">
      <c r="A101" s="8" t="s">
        <v>239</v>
      </c>
      <c r="B101" s="8" t="s">
        <v>12</v>
      </c>
      <c r="C101" s="8" t="s">
        <v>17</v>
      </c>
      <c r="D101" s="8" t="s">
        <v>49</v>
      </c>
      <c r="E101" s="8" t="s">
        <v>67</v>
      </c>
      <c r="F101" s="8" t="s">
        <v>240</v>
      </c>
      <c r="G101" s="9">
        <v>3</v>
      </c>
      <c r="H101" s="9">
        <v>85</v>
      </c>
      <c r="I101" s="9">
        <v>85</v>
      </c>
      <c r="J101" s="10">
        <v>6.6941176470588237</v>
      </c>
      <c r="K101" s="12">
        <f t="shared" si="2"/>
        <v>0</v>
      </c>
      <c r="L101" s="13">
        <f t="shared" si="3"/>
        <v>6.6941176470588237</v>
      </c>
    </row>
    <row r="102" spans="1:12" x14ac:dyDescent="0.3">
      <c r="A102" s="8" t="s">
        <v>241</v>
      </c>
      <c r="B102" s="8" t="s">
        <v>11</v>
      </c>
      <c r="C102" s="8" t="s">
        <v>12</v>
      </c>
      <c r="D102" s="8" t="s">
        <v>13</v>
      </c>
      <c r="E102" s="8" t="s">
        <v>14</v>
      </c>
      <c r="F102" s="8" t="s">
        <v>242</v>
      </c>
      <c r="G102" s="9">
        <v>2</v>
      </c>
      <c r="H102" s="9">
        <v>51</v>
      </c>
      <c r="I102" s="9">
        <v>29</v>
      </c>
      <c r="J102" s="10">
        <v>2.7241379310344827</v>
      </c>
      <c r="K102" s="12">
        <f t="shared" si="2"/>
        <v>22</v>
      </c>
      <c r="L102" s="13">
        <f t="shared" si="3"/>
        <v>1.5490196078431373</v>
      </c>
    </row>
    <row r="103" spans="1:12" x14ac:dyDescent="0.3">
      <c r="A103" s="8" t="s">
        <v>243</v>
      </c>
      <c r="B103" s="8" t="s">
        <v>25</v>
      </c>
      <c r="C103" s="8" t="s">
        <v>12</v>
      </c>
      <c r="D103" s="8" t="s">
        <v>13</v>
      </c>
      <c r="E103" s="8" t="s">
        <v>104</v>
      </c>
      <c r="F103" s="8" t="s">
        <v>244</v>
      </c>
      <c r="G103" s="9">
        <v>6</v>
      </c>
      <c r="H103" s="9">
        <v>111</v>
      </c>
      <c r="I103" s="9">
        <v>96</v>
      </c>
      <c r="J103" s="10">
        <v>3.28125</v>
      </c>
      <c r="K103" s="12">
        <f t="shared" si="2"/>
        <v>15</v>
      </c>
      <c r="L103" s="13">
        <f t="shared" si="3"/>
        <v>2.8378378378378377</v>
      </c>
    </row>
    <row r="104" spans="1:12" x14ac:dyDescent="0.3">
      <c r="A104" s="8" t="s">
        <v>245</v>
      </c>
      <c r="B104" s="8" t="s">
        <v>164</v>
      </c>
      <c r="C104" s="8" t="s">
        <v>12</v>
      </c>
      <c r="D104" s="8" t="s">
        <v>13</v>
      </c>
      <c r="E104" s="8" t="s">
        <v>246</v>
      </c>
      <c r="F104" s="8" t="s">
        <v>247</v>
      </c>
      <c r="G104" s="9">
        <v>1</v>
      </c>
      <c r="H104" s="9">
        <v>34</v>
      </c>
      <c r="I104" s="9">
        <v>10</v>
      </c>
      <c r="J104" s="10">
        <v>3.4</v>
      </c>
      <c r="K104" s="12">
        <f t="shared" si="2"/>
        <v>24</v>
      </c>
      <c r="L104" s="13">
        <f t="shared" si="3"/>
        <v>1</v>
      </c>
    </row>
    <row r="105" spans="1:12" x14ac:dyDescent="0.3">
      <c r="A105" s="8" t="s">
        <v>248</v>
      </c>
      <c r="B105" s="8" t="s">
        <v>12</v>
      </c>
      <c r="C105" s="8" t="s">
        <v>17</v>
      </c>
      <c r="D105" s="8" t="s">
        <v>49</v>
      </c>
      <c r="E105" s="8" t="s">
        <v>195</v>
      </c>
      <c r="F105" s="8" t="s">
        <v>249</v>
      </c>
      <c r="G105" s="9">
        <v>5</v>
      </c>
      <c r="H105" s="9">
        <v>153</v>
      </c>
      <c r="I105" s="9">
        <v>147</v>
      </c>
      <c r="J105" s="10">
        <v>3.9115646258503403</v>
      </c>
      <c r="K105" s="12">
        <f t="shared" si="2"/>
        <v>6</v>
      </c>
      <c r="L105" s="13">
        <f t="shared" si="3"/>
        <v>3.7581699346405228</v>
      </c>
    </row>
    <row r="106" spans="1:12" x14ac:dyDescent="0.3">
      <c r="A106" s="8" t="s">
        <v>250</v>
      </c>
      <c r="B106" s="8" t="s">
        <v>12</v>
      </c>
      <c r="C106" s="8" t="s">
        <v>17</v>
      </c>
      <c r="D106" s="8" t="s">
        <v>49</v>
      </c>
      <c r="E106" s="8" t="s">
        <v>195</v>
      </c>
      <c r="F106" s="8" t="s">
        <v>251</v>
      </c>
      <c r="G106" s="9">
        <v>6</v>
      </c>
      <c r="H106" s="9">
        <v>148</v>
      </c>
      <c r="I106" s="9">
        <v>131</v>
      </c>
      <c r="J106" s="10">
        <v>6.5496183206106871</v>
      </c>
      <c r="K106" s="12">
        <f t="shared" si="2"/>
        <v>17</v>
      </c>
      <c r="L106" s="13">
        <f t="shared" si="3"/>
        <v>5.7972972972972974</v>
      </c>
    </row>
    <row r="107" spans="1:12" x14ac:dyDescent="0.3">
      <c r="A107" s="8" t="s">
        <v>252</v>
      </c>
      <c r="B107" s="8" t="s">
        <v>103</v>
      </c>
      <c r="C107" s="8" t="s">
        <v>12</v>
      </c>
      <c r="D107" s="8" t="s">
        <v>13</v>
      </c>
      <c r="E107" s="8" t="s">
        <v>104</v>
      </c>
      <c r="F107" s="8" t="s">
        <v>253</v>
      </c>
      <c r="G107" s="9">
        <v>4</v>
      </c>
      <c r="H107" s="9">
        <v>87</v>
      </c>
      <c r="I107" s="9">
        <v>58</v>
      </c>
      <c r="J107" s="10">
        <v>2.9137931034482758</v>
      </c>
      <c r="K107" s="12">
        <f t="shared" si="2"/>
        <v>29</v>
      </c>
      <c r="L107" s="13">
        <f t="shared" si="3"/>
        <v>1.9425287356321839</v>
      </c>
    </row>
    <row r="108" spans="1:12" x14ac:dyDescent="0.3">
      <c r="A108" s="8" t="s">
        <v>254</v>
      </c>
      <c r="B108" s="8" t="s">
        <v>12</v>
      </c>
      <c r="C108" s="8" t="s">
        <v>17</v>
      </c>
      <c r="D108" s="8" t="s">
        <v>49</v>
      </c>
      <c r="E108" s="8" t="s">
        <v>60</v>
      </c>
      <c r="F108" s="8" t="s">
        <v>255</v>
      </c>
      <c r="G108" s="9">
        <v>6</v>
      </c>
      <c r="H108" s="9">
        <v>135</v>
      </c>
      <c r="I108" s="9">
        <v>0</v>
      </c>
      <c r="J108" s="10">
        <v>0</v>
      </c>
      <c r="K108" s="12">
        <f t="shared" si="2"/>
        <v>135</v>
      </c>
      <c r="L108" s="13">
        <f t="shared" si="3"/>
        <v>0</v>
      </c>
    </row>
    <row r="109" spans="1:12" x14ac:dyDescent="0.3">
      <c r="A109" s="8" t="s">
        <v>256</v>
      </c>
      <c r="B109" s="8" t="s">
        <v>12</v>
      </c>
      <c r="C109" s="8" t="s">
        <v>17</v>
      </c>
      <c r="D109" s="8" t="s">
        <v>49</v>
      </c>
      <c r="E109" s="8" t="s">
        <v>60</v>
      </c>
      <c r="F109" s="8" t="s">
        <v>257</v>
      </c>
      <c r="G109" s="9">
        <v>6</v>
      </c>
      <c r="H109" s="9">
        <v>131</v>
      </c>
      <c r="I109" s="9">
        <v>98</v>
      </c>
      <c r="J109" s="10">
        <v>6.5816326530612246</v>
      </c>
      <c r="K109" s="12">
        <f t="shared" si="2"/>
        <v>33</v>
      </c>
      <c r="L109" s="13">
        <f t="shared" si="3"/>
        <v>4.9236641221374047</v>
      </c>
    </row>
    <row r="110" spans="1:12" x14ac:dyDescent="0.3">
      <c r="A110" s="8" t="s">
        <v>258</v>
      </c>
      <c r="B110" s="8" t="s">
        <v>164</v>
      </c>
      <c r="C110" s="8" t="s">
        <v>12</v>
      </c>
      <c r="D110" s="8" t="s">
        <v>13</v>
      </c>
      <c r="E110" s="8" t="s">
        <v>123</v>
      </c>
      <c r="F110" s="8" t="s">
        <v>259</v>
      </c>
      <c r="G110" s="9">
        <v>4</v>
      </c>
      <c r="H110" s="9">
        <v>136</v>
      </c>
      <c r="I110" s="9">
        <v>125</v>
      </c>
      <c r="J110" s="10">
        <v>2.12</v>
      </c>
      <c r="K110" s="12">
        <f t="shared" si="2"/>
        <v>11</v>
      </c>
      <c r="L110" s="13">
        <f t="shared" si="3"/>
        <v>1.9485294117647058</v>
      </c>
    </row>
    <row r="111" spans="1:12" x14ac:dyDescent="0.3">
      <c r="A111" s="8" t="s">
        <v>260</v>
      </c>
      <c r="B111" s="8" t="s">
        <v>261</v>
      </c>
      <c r="C111" s="8" t="s">
        <v>12</v>
      </c>
      <c r="D111" s="8" t="s">
        <v>13</v>
      </c>
      <c r="E111" s="8" t="s">
        <v>104</v>
      </c>
      <c r="F111" s="8" t="s">
        <v>262</v>
      </c>
      <c r="G111" s="9">
        <v>5</v>
      </c>
      <c r="H111" s="9">
        <v>131</v>
      </c>
      <c r="I111" s="9">
        <v>91</v>
      </c>
      <c r="J111" s="10">
        <v>2.9230769230769229</v>
      </c>
      <c r="K111" s="12">
        <f t="shared" si="2"/>
        <v>40</v>
      </c>
      <c r="L111" s="13">
        <f t="shared" si="3"/>
        <v>2.0305343511450382</v>
      </c>
    </row>
    <row r="112" spans="1:12" x14ac:dyDescent="0.3">
      <c r="A112" s="8" t="s">
        <v>263</v>
      </c>
      <c r="B112" s="8" t="s">
        <v>12</v>
      </c>
      <c r="C112" s="8" t="s">
        <v>17</v>
      </c>
      <c r="D112" s="8" t="s">
        <v>49</v>
      </c>
      <c r="E112" s="8" t="s">
        <v>195</v>
      </c>
      <c r="F112" s="8" t="s">
        <v>264</v>
      </c>
      <c r="G112" s="9">
        <v>3</v>
      </c>
      <c r="H112" s="9">
        <v>106</v>
      </c>
      <c r="I112" s="9">
        <v>84</v>
      </c>
      <c r="J112" s="10">
        <v>8.5357142857142865</v>
      </c>
      <c r="K112" s="12">
        <f t="shared" si="2"/>
        <v>22</v>
      </c>
      <c r="L112" s="13">
        <f t="shared" si="3"/>
        <v>6.7641509433962277</v>
      </c>
    </row>
    <row r="113" spans="1:12" x14ac:dyDescent="0.3">
      <c r="A113" s="8" t="s">
        <v>265</v>
      </c>
      <c r="B113" s="8" t="s">
        <v>12</v>
      </c>
      <c r="C113" s="8" t="s">
        <v>17</v>
      </c>
      <c r="D113" s="8" t="s">
        <v>13</v>
      </c>
      <c r="E113" s="8" t="s">
        <v>266</v>
      </c>
      <c r="F113" s="8" t="s">
        <v>267</v>
      </c>
      <c r="G113" s="9">
        <v>1</v>
      </c>
      <c r="H113" s="9">
        <v>27</v>
      </c>
      <c r="I113" s="9">
        <v>25</v>
      </c>
      <c r="J113" s="10">
        <v>3.08</v>
      </c>
      <c r="K113" s="12">
        <f t="shared" si="2"/>
        <v>2</v>
      </c>
      <c r="L113" s="13">
        <f t="shared" si="3"/>
        <v>2.8518518518518516</v>
      </c>
    </row>
    <row r="114" spans="1:12" x14ac:dyDescent="0.3">
      <c r="A114" s="8" t="s">
        <v>268</v>
      </c>
      <c r="B114" s="8" t="s">
        <v>103</v>
      </c>
      <c r="C114" s="8" t="s">
        <v>12</v>
      </c>
      <c r="D114" s="8" t="s">
        <v>13</v>
      </c>
      <c r="E114" s="8" t="s">
        <v>104</v>
      </c>
      <c r="F114" s="8" t="s">
        <v>269</v>
      </c>
      <c r="G114" s="9">
        <v>4</v>
      </c>
      <c r="H114" s="9">
        <v>79</v>
      </c>
      <c r="I114" s="9">
        <v>67</v>
      </c>
      <c r="J114" s="10">
        <v>5.5522388059701493</v>
      </c>
      <c r="K114" s="12">
        <f t="shared" si="2"/>
        <v>12</v>
      </c>
      <c r="L114" s="13">
        <f t="shared" si="3"/>
        <v>4.7088607594936711</v>
      </c>
    </row>
    <row r="115" spans="1:12" x14ac:dyDescent="0.3">
      <c r="A115" s="8" t="s">
        <v>270</v>
      </c>
      <c r="B115" s="8" t="s">
        <v>271</v>
      </c>
      <c r="C115" s="8" t="s">
        <v>12</v>
      </c>
      <c r="D115" s="8" t="s">
        <v>13</v>
      </c>
      <c r="E115" s="8" t="s">
        <v>123</v>
      </c>
      <c r="F115" s="8" t="s">
        <v>272</v>
      </c>
      <c r="G115" s="9">
        <v>4</v>
      </c>
      <c r="H115" s="9">
        <v>76</v>
      </c>
      <c r="I115" s="9">
        <v>67</v>
      </c>
      <c r="J115" s="10">
        <v>8.08955223880597</v>
      </c>
      <c r="K115" s="12">
        <f t="shared" si="2"/>
        <v>9</v>
      </c>
      <c r="L115" s="13">
        <f t="shared" si="3"/>
        <v>7.1315789473684212</v>
      </c>
    </row>
    <row r="116" spans="1:12" x14ac:dyDescent="0.3">
      <c r="A116" s="8" t="s">
        <v>273</v>
      </c>
      <c r="B116" s="8" t="s">
        <v>126</v>
      </c>
      <c r="C116" s="8" t="s">
        <v>12</v>
      </c>
      <c r="D116" s="8" t="s">
        <v>13</v>
      </c>
      <c r="E116" s="8" t="s">
        <v>113</v>
      </c>
      <c r="F116" s="8" t="s">
        <v>274</v>
      </c>
      <c r="G116" s="9">
        <v>4</v>
      </c>
      <c r="H116" s="9">
        <v>76</v>
      </c>
      <c r="I116" s="9">
        <v>55</v>
      </c>
      <c r="J116" s="10">
        <v>2</v>
      </c>
      <c r="K116" s="12">
        <f t="shared" si="2"/>
        <v>21</v>
      </c>
      <c r="L116" s="13">
        <f t="shared" si="3"/>
        <v>1.4473684210526316</v>
      </c>
    </row>
    <row r="117" spans="1:12" x14ac:dyDescent="0.3">
      <c r="A117" s="8" t="s">
        <v>275</v>
      </c>
      <c r="B117" s="8" t="s">
        <v>164</v>
      </c>
      <c r="C117" s="8" t="s">
        <v>12</v>
      </c>
      <c r="D117" s="8" t="s">
        <v>13</v>
      </c>
      <c r="E117" s="8" t="s">
        <v>123</v>
      </c>
      <c r="F117" s="8" t="s">
        <v>276</v>
      </c>
      <c r="G117" s="9">
        <v>7</v>
      </c>
      <c r="H117" s="9">
        <v>204</v>
      </c>
      <c r="I117" s="9">
        <v>192</v>
      </c>
      <c r="J117" s="10">
        <v>6.557291666666667</v>
      </c>
      <c r="K117" s="12">
        <f t="shared" si="2"/>
        <v>12</v>
      </c>
      <c r="L117" s="13">
        <f t="shared" si="3"/>
        <v>6.1715686274509807</v>
      </c>
    </row>
    <row r="118" spans="1:12" x14ac:dyDescent="0.3">
      <c r="A118" s="8" t="s">
        <v>277</v>
      </c>
      <c r="B118" s="8" t="s">
        <v>12</v>
      </c>
      <c r="C118" s="8" t="s">
        <v>17</v>
      </c>
      <c r="D118" s="8" t="s">
        <v>13</v>
      </c>
      <c r="E118" s="8" t="s">
        <v>82</v>
      </c>
      <c r="F118" s="8" t="s">
        <v>278</v>
      </c>
      <c r="G118" s="9">
        <v>2</v>
      </c>
      <c r="H118" s="9">
        <v>52</v>
      </c>
      <c r="I118" s="9">
        <v>27</v>
      </c>
      <c r="J118" s="10">
        <v>3.074074074074074</v>
      </c>
      <c r="K118" s="12">
        <f t="shared" si="2"/>
        <v>25</v>
      </c>
      <c r="L118" s="13">
        <f t="shared" si="3"/>
        <v>1.5961538461538463</v>
      </c>
    </row>
    <row r="119" spans="1:12" x14ac:dyDescent="0.3">
      <c r="A119" s="8" t="s">
        <v>279</v>
      </c>
      <c r="B119" s="8" t="s">
        <v>12</v>
      </c>
      <c r="C119" s="8" t="s">
        <v>17</v>
      </c>
      <c r="D119" s="8" t="s">
        <v>13</v>
      </c>
      <c r="E119" s="8" t="s">
        <v>280</v>
      </c>
      <c r="F119" s="8" t="s">
        <v>281</v>
      </c>
      <c r="G119" s="9">
        <v>1</v>
      </c>
      <c r="H119" s="9">
        <v>12</v>
      </c>
      <c r="I119" s="9">
        <v>1</v>
      </c>
      <c r="J119" s="10">
        <v>1</v>
      </c>
      <c r="K119" s="12">
        <f t="shared" si="2"/>
        <v>11</v>
      </c>
      <c r="L119" s="13">
        <f t="shared" si="3"/>
        <v>8.3333333333333329E-2</v>
      </c>
    </row>
    <row r="120" spans="1:12" x14ac:dyDescent="0.3">
      <c r="A120" s="8" t="s">
        <v>282</v>
      </c>
      <c r="B120" s="8" t="s">
        <v>12</v>
      </c>
      <c r="C120" s="8" t="s">
        <v>17</v>
      </c>
      <c r="D120" s="8" t="s">
        <v>49</v>
      </c>
      <c r="E120" s="8" t="s">
        <v>195</v>
      </c>
      <c r="F120" s="8" t="s">
        <v>283</v>
      </c>
      <c r="G120" s="9">
        <v>2</v>
      </c>
      <c r="H120" s="9">
        <v>45</v>
      </c>
      <c r="I120" s="9">
        <v>45</v>
      </c>
      <c r="J120" s="10">
        <v>2.6222222222222222</v>
      </c>
      <c r="K120" s="12">
        <f t="shared" si="2"/>
        <v>0</v>
      </c>
      <c r="L120" s="13">
        <f t="shared" si="3"/>
        <v>2.6222222222222222</v>
      </c>
    </row>
    <row r="121" spans="1:12" x14ac:dyDescent="0.3">
      <c r="A121" s="8" t="s">
        <v>284</v>
      </c>
      <c r="B121" s="8" t="s">
        <v>103</v>
      </c>
      <c r="C121" s="8" t="s">
        <v>12</v>
      </c>
      <c r="D121" s="8" t="s">
        <v>13</v>
      </c>
      <c r="E121" s="8" t="s">
        <v>104</v>
      </c>
      <c r="F121" s="8" t="s">
        <v>285</v>
      </c>
      <c r="G121" s="9">
        <v>2</v>
      </c>
      <c r="H121" s="9">
        <v>51</v>
      </c>
      <c r="I121" s="9">
        <v>34</v>
      </c>
      <c r="J121" s="10">
        <v>7.5882352941176467</v>
      </c>
      <c r="K121" s="12">
        <f t="shared" si="2"/>
        <v>17</v>
      </c>
      <c r="L121" s="13">
        <f t="shared" si="3"/>
        <v>5.0588235294117645</v>
      </c>
    </row>
    <row r="122" spans="1:12" x14ac:dyDescent="0.3">
      <c r="A122" s="8" t="s">
        <v>286</v>
      </c>
      <c r="B122" s="8" t="s">
        <v>12</v>
      </c>
      <c r="C122" s="8" t="s">
        <v>17</v>
      </c>
      <c r="D122" s="8" t="s">
        <v>49</v>
      </c>
      <c r="E122" s="8" t="s">
        <v>195</v>
      </c>
      <c r="F122" s="8" t="s">
        <v>287</v>
      </c>
      <c r="G122" s="9">
        <v>2</v>
      </c>
      <c r="H122" s="9">
        <v>49</v>
      </c>
      <c r="I122" s="9">
        <v>48</v>
      </c>
      <c r="J122" s="10">
        <v>3.7083333333333335</v>
      </c>
      <c r="K122" s="12">
        <f t="shared" si="2"/>
        <v>1</v>
      </c>
      <c r="L122" s="13">
        <f t="shared" si="3"/>
        <v>3.6326530612244898</v>
      </c>
    </row>
    <row r="123" spans="1:12" x14ac:dyDescent="0.3">
      <c r="A123" s="8" t="s">
        <v>288</v>
      </c>
      <c r="B123" s="8" t="s">
        <v>11</v>
      </c>
      <c r="C123" s="8" t="s">
        <v>12</v>
      </c>
      <c r="D123" s="8" t="s">
        <v>13</v>
      </c>
      <c r="E123" s="8" t="s">
        <v>14</v>
      </c>
      <c r="F123" s="8" t="s">
        <v>289</v>
      </c>
      <c r="G123" s="9">
        <v>2</v>
      </c>
      <c r="H123" s="9">
        <v>62</v>
      </c>
      <c r="I123" s="9">
        <v>62</v>
      </c>
      <c r="J123" s="10">
        <v>7.0161290322580649</v>
      </c>
      <c r="K123" s="12">
        <f t="shared" si="2"/>
        <v>0</v>
      </c>
      <c r="L123" s="13">
        <f t="shared" si="3"/>
        <v>7.0161290322580649</v>
      </c>
    </row>
    <row r="124" spans="1:12" x14ac:dyDescent="0.3">
      <c r="A124" s="8" t="s">
        <v>290</v>
      </c>
      <c r="B124" s="8" t="s">
        <v>291</v>
      </c>
      <c r="C124" s="8" t="s">
        <v>12</v>
      </c>
      <c r="D124" s="8" t="s">
        <v>13</v>
      </c>
      <c r="E124" s="8" t="s">
        <v>123</v>
      </c>
      <c r="F124" s="8" t="s">
        <v>292</v>
      </c>
      <c r="G124" s="9">
        <v>6</v>
      </c>
      <c r="H124" s="9">
        <v>135</v>
      </c>
      <c r="I124" s="9">
        <v>130</v>
      </c>
      <c r="J124" s="10">
        <v>4.7230769230769232</v>
      </c>
      <c r="K124" s="12">
        <f t="shared" si="2"/>
        <v>5</v>
      </c>
      <c r="L124" s="13">
        <f t="shared" si="3"/>
        <v>4.5481481481481483</v>
      </c>
    </row>
    <row r="125" spans="1:12" x14ac:dyDescent="0.3">
      <c r="A125" s="8" t="s">
        <v>293</v>
      </c>
      <c r="B125" s="8" t="s">
        <v>12</v>
      </c>
      <c r="C125" s="8" t="s">
        <v>17</v>
      </c>
      <c r="D125" s="8" t="s">
        <v>13</v>
      </c>
      <c r="E125" s="8" t="s">
        <v>294</v>
      </c>
      <c r="F125" s="8" t="s">
        <v>295</v>
      </c>
      <c r="G125" s="9">
        <v>1</v>
      </c>
      <c r="H125" s="9">
        <v>9</v>
      </c>
      <c r="I125" s="9">
        <v>5</v>
      </c>
      <c r="J125" s="10">
        <v>1.2</v>
      </c>
      <c r="K125" s="12">
        <f t="shared" si="2"/>
        <v>4</v>
      </c>
      <c r="L125" s="13">
        <f t="shared" si="3"/>
        <v>0.66666666666666663</v>
      </c>
    </row>
    <row r="126" spans="1:12" x14ac:dyDescent="0.3">
      <c r="A126" s="8" t="s">
        <v>296</v>
      </c>
      <c r="B126" s="8" t="s">
        <v>12</v>
      </c>
      <c r="C126" s="8" t="s">
        <v>17</v>
      </c>
      <c r="D126" s="8" t="s">
        <v>49</v>
      </c>
      <c r="E126" s="8" t="s">
        <v>60</v>
      </c>
      <c r="F126" s="8" t="s">
        <v>297</v>
      </c>
      <c r="G126" s="9">
        <v>5</v>
      </c>
      <c r="H126" s="9">
        <v>111</v>
      </c>
      <c r="I126" s="9">
        <v>39</v>
      </c>
      <c r="J126" s="10">
        <v>8.4102564102564106</v>
      </c>
      <c r="K126" s="12">
        <f t="shared" si="2"/>
        <v>72</v>
      </c>
      <c r="L126" s="13">
        <f t="shared" si="3"/>
        <v>2.954954954954955</v>
      </c>
    </row>
    <row r="127" spans="1:12" x14ac:dyDescent="0.3">
      <c r="A127" s="8" t="s">
        <v>298</v>
      </c>
      <c r="B127" s="8" t="s">
        <v>164</v>
      </c>
      <c r="C127" s="8" t="s">
        <v>12</v>
      </c>
      <c r="D127" s="8" t="s">
        <v>13</v>
      </c>
      <c r="E127" s="8" t="s">
        <v>104</v>
      </c>
      <c r="F127" s="8" t="s">
        <v>299</v>
      </c>
      <c r="G127" s="9">
        <v>6</v>
      </c>
      <c r="H127" s="9">
        <v>135</v>
      </c>
      <c r="I127" s="9">
        <v>90</v>
      </c>
      <c r="J127" s="10">
        <v>2.1777777777777776</v>
      </c>
      <c r="K127" s="12">
        <f t="shared" si="2"/>
        <v>45</v>
      </c>
      <c r="L127" s="13">
        <f t="shared" si="3"/>
        <v>1.4518518518518517</v>
      </c>
    </row>
    <row r="128" spans="1:12" x14ac:dyDescent="0.3">
      <c r="A128" s="8" t="s">
        <v>300</v>
      </c>
      <c r="B128" s="8" t="s">
        <v>261</v>
      </c>
      <c r="C128" s="8" t="s">
        <v>12</v>
      </c>
      <c r="D128" s="8" t="s">
        <v>49</v>
      </c>
      <c r="E128" s="8" t="s">
        <v>123</v>
      </c>
      <c r="F128" s="8" t="s">
        <v>301</v>
      </c>
      <c r="G128" s="9">
        <v>4</v>
      </c>
      <c r="H128" s="9">
        <v>85</v>
      </c>
      <c r="I128" s="9">
        <v>78</v>
      </c>
      <c r="J128" s="10">
        <v>8.3589743589743595</v>
      </c>
      <c r="K128" s="12">
        <f t="shared" si="2"/>
        <v>7</v>
      </c>
      <c r="L128" s="13">
        <f t="shared" si="3"/>
        <v>7.6705882352941179</v>
      </c>
    </row>
    <row r="129" spans="1:12" x14ac:dyDescent="0.3">
      <c r="A129" s="8" t="s">
        <v>302</v>
      </c>
      <c r="B129" s="8" t="s">
        <v>12</v>
      </c>
      <c r="C129" s="8" t="s">
        <v>17</v>
      </c>
      <c r="D129" s="8" t="s">
        <v>13</v>
      </c>
      <c r="E129" s="8" t="s">
        <v>76</v>
      </c>
      <c r="F129" s="8" t="s">
        <v>303</v>
      </c>
      <c r="G129" s="9">
        <v>3</v>
      </c>
      <c r="H129" s="9">
        <v>89</v>
      </c>
      <c r="I129" s="9">
        <v>62</v>
      </c>
      <c r="J129" s="10">
        <v>2.1774193548387095</v>
      </c>
      <c r="K129" s="12">
        <f t="shared" si="2"/>
        <v>27</v>
      </c>
      <c r="L129" s="13">
        <f t="shared" si="3"/>
        <v>1.5168539325842696</v>
      </c>
    </row>
    <row r="130" spans="1:12" x14ac:dyDescent="0.3">
      <c r="A130" s="8" t="s">
        <v>304</v>
      </c>
      <c r="B130" s="8" t="s">
        <v>164</v>
      </c>
      <c r="C130" s="8" t="s">
        <v>12</v>
      </c>
      <c r="D130" s="8" t="s">
        <v>13</v>
      </c>
      <c r="E130" s="8" t="s">
        <v>104</v>
      </c>
      <c r="F130" s="8" t="s">
        <v>305</v>
      </c>
      <c r="G130" s="9">
        <v>4</v>
      </c>
      <c r="H130" s="9">
        <v>118</v>
      </c>
      <c r="I130" s="9">
        <v>87</v>
      </c>
      <c r="J130" s="10">
        <v>2.264367816091954</v>
      </c>
      <c r="K130" s="12">
        <f t="shared" si="2"/>
        <v>31</v>
      </c>
      <c r="L130" s="13">
        <f t="shared" si="3"/>
        <v>1.6694915254237288</v>
      </c>
    </row>
    <row r="131" spans="1:12" x14ac:dyDescent="0.3">
      <c r="A131" s="8" t="s">
        <v>306</v>
      </c>
      <c r="B131" s="8" t="s">
        <v>103</v>
      </c>
      <c r="C131" s="8" t="s">
        <v>12</v>
      </c>
      <c r="D131" s="8" t="s">
        <v>13</v>
      </c>
      <c r="E131" s="8" t="s">
        <v>104</v>
      </c>
      <c r="F131" s="8" t="s">
        <v>307</v>
      </c>
      <c r="G131" s="9">
        <v>2</v>
      </c>
      <c r="H131" s="9">
        <v>65</v>
      </c>
      <c r="I131" s="9">
        <v>62</v>
      </c>
      <c r="J131" s="10">
        <v>4.435483870967742</v>
      </c>
      <c r="K131" s="12">
        <f t="shared" ref="K131:K168" si="4">H131-I131</f>
        <v>3</v>
      </c>
      <c r="L131" s="13">
        <f t="shared" ref="L131:L168" si="5">(K131*0+J131*I131)/H131</f>
        <v>4.2307692307692308</v>
      </c>
    </row>
    <row r="132" spans="1:12" x14ac:dyDescent="0.3">
      <c r="A132" s="8" t="s">
        <v>308</v>
      </c>
      <c r="B132" s="8" t="s">
        <v>12</v>
      </c>
      <c r="C132" s="8" t="s">
        <v>17</v>
      </c>
      <c r="D132" s="8" t="s">
        <v>49</v>
      </c>
      <c r="E132" s="8" t="s">
        <v>195</v>
      </c>
      <c r="F132" s="8" t="s">
        <v>309</v>
      </c>
      <c r="G132" s="9">
        <v>6</v>
      </c>
      <c r="H132" s="9">
        <v>163</v>
      </c>
      <c r="I132" s="9">
        <v>83</v>
      </c>
      <c r="J132" s="10">
        <v>4.8433734939759034</v>
      </c>
      <c r="K132" s="12">
        <f t="shared" si="4"/>
        <v>80</v>
      </c>
      <c r="L132" s="13">
        <f t="shared" si="5"/>
        <v>2.4662576687116564</v>
      </c>
    </row>
    <row r="133" spans="1:12" x14ac:dyDescent="0.3">
      <c r="A133" s="8" t="s">
        <v>310</v>
      </c>
      <c r="B133" s="8" t="s">
        <v>12</v>
      </c>
      <c r="C133" s="8" t="s">
        <v>17</v>
      </c>
      <c r="D133" s="8" t="s">
        <v>49</v>
      </c>
      <c r="E133" s="8" t="s">
        <v>50</v>
      </c>
      <c r="F133" s="8" t="s">
        <v>311</v>
      </c>
      <c r="G133" s="9">
        <v>3</v>
      </c>
      <c r="H133" s="9">
        <v>97</v>
      </c>
      <c r="I133" s="9">
        <v>64</v>
      </c>
      <c r="J133" s="10">
        <v>2.09375</v>
      </c>
      <c r="K133" s="12">
        <f t="shared" si="4"/>
        <v>33</v>
      </c>
      <c r="L133" s="13">
        <f t="shared" si="5"/>
        <v>1.3814432989690721</v>
      </c>
    </row>
    <row r="134" spans="1:12" x14ac:dyDescent="0.3">
      <c r="A134" s="8" t="s">
        <v>312</v>
      </c>
      <c r="B134" s="8" t="s">
        <v>11</v>
      </c>
      <c r="C134" s="8" t="s">
        <v>12</v>
      </c>
      <c r="D134" s="8" t="s">
        <v>13</v>
      </c>
      <c r="E134" s="8" t="s">
        <v>14</v>
      </c>
      <c r="F134" s="8" t="s">
        <v>313</v>
      </c>
      <c r="G134" s="9">
        <v>2</v>
      </c>
      <c r="H134" s="9">
        <v>46</v>
      </c>
      <c r="I134" s="9">
        <v>15</v>
      </c>
      <c r="J134" s="10">
        <v>3.6</v>
      </c>
      <c r="K134" s="12">
        <f t="shared" si="4"/>
        <v>31</v>
      </c>
      <c r="L134" s="13">
        <f t="shared" si="5"/>
        <v>1.173913043478261</v>
      </c>
    </row>
    <row r="135" spans="1:12" x14ac:dyDescent="0.3">
      <c r="A135" s="8" t="s">
        <v>314</v>
      </c>
      <c r="B135" s="8" t="s">
        <v>25</v>
      </c>
      <c r="C135" s="8" t="s">
        <v>12</v>
      </c>
      <c r="D135" s="8" t="s">
        <v>13</v>
      </c>
      <c r="E135" s="8" t="s">
        <v>26</v>
      </c>
      <c r="F135" s="8" t="s">
        <v>315</v>
      </c>
      <c r="G135" s="9">
        <v>5</v>
      </c>
      <c r="H135" s="9">
        <v>106</v>
      </c>
      <c r="I135" s="9">
        <v>83</v>
      </c>
      <c r="J135" s="10">
        <v>4.5662650602409638</v>
      </c>
      <c r="K135" s="12">
        <f t="shared" si="4"/>
        <v>23</v>
      </c>
      <c r="L135" s="13">
        <f t="shared" si="5"/>
        <v>3.5754716981132075</v>
      </c>
    </row>
    <row r="136" spans="1:12" x14ac:dyDescent="0.3">
      <c r="A136" s="8" t="s">
        <v>316</v>
      </c>
      <c r="B136" s="8" t="s">
        <v>11</v>
      </c>
      <c r="C136" s="8" t="s">
        <v>12</v>
      </c>
      <c r="D136" s="8" t="s">
        <v>13</v>
      </c>
      <c r="E136" s="8" t="s">
        <v>14</v>
      </c>
      <c r="F136" s="8" t="s">
        <v>317</v>
      </c>
      <c r="G136" s="9">
        <v>2</v>
      </c>
      <c r="H136" s="9">
        <v>42</v>
      </c>
      <c r="I136" s="9">
        <v>31</v>
      </c>
      <c r="J136" s="10">
        <v>3</v>
      </c>
      <c r="K136" s="12">
        <f t="shared" si="4"/>
        <v>11</v>
      </c>
      <c r="L136" s="13">
        <f t="shared" si="5"/>
        <v>2.2142857142857144</v>
      </c>
    </row>
    <row r="137" spans="1:12" x14ac:dyDescent="0.3">
      <c r="A137" s="8" t="s">
        <v>318</v>
      </c>
      <c r="B137" s="8" t="s">
        <v>164</v>
      </c>
      <c r="C137" s="8" t="s">
        <v>12</v>
      </c>
      <c r="D137" s="8" t="s">
        <v>13</v>
      </c>
      <c r="E137" s="8" t="s">
        <v>123</v>
      </c>
      <c r="F137" s="8" t="s">
        <v>319</v>
      </c>
      <c r="G137" s="9">
        <v>6</v>
      </c>
      <c r="H137" s="9">
        <v>183</v>
      </c>
      <c r="I137" s="9">
        <v>92</v>
      </c>
      <c r="J137" s="10">
        <v>1.7608695652173914</v>
      </c>
      <c r="K137" s="12">
        <f t="shared" si="4"/>
        <v>91</v>
      </c>
      <c r="L137" s="13">
        <f t="shared" si="5"/>
        <v>0.88524590163934425</v>
      </c>
    </row>
    <row r="138" spans="1:12" x14ac:dyDescent="0.3">
      <c r="A138" s="8" t="s">
        <v>320</v>
      </c>
      <c r="B138" s="8" t="s">
        <v>25</v>
      </c>
      <c r="C138" s="8" t="s">
        <v>12</v>
      </c>
      <c r="D138" s="8" t="s">
        <v>13</v>
      </c>
      <c r="E138" s="8" t="s">
        <v>26</v>
      </c>
      <c r="F138" s="8" t="s">
        <v>321</v>
      </c>
      <c r="G138" s="9">
        <v>2</v>
      </c>
      <c r="H138" s="9">
        <v>40</v>
      </c>
      <c r="I138" s="9">
        <v>31</v>
      </c>
      <c r="J138" s="10">
        <v>4.193548387096774</v>
      </c>
      <c r="K138" s="12">
        <f t="shared" si="4"/>
        <v>9</v>
      </c>
      <c r="L138" s="13">
        <f t="shared" si="5"/>
        <v>3.25</v>
      </c>
    </row>
    <row r="139" spans="1:12" x14ac:dyDescent="0.3">
      <c r="A139" s="8" t="s">
        <v>322</v>
      </c>
      <c r="B139" s="8" t="s">
        <v>12</v>
      </c>
      <c r="C139" s="8" t="s">
        <v>17</v>
      </c>
      <c r="D139" s="8" t="s">
        <v>13</v>
      </c>
      <c r="E139" s="8" t="s">
        <v>76</v>
      </c>
      <c r="F139" s="8" t="s">
        <v>323</v>
      </c>
      <c r="G139" s="9">
        <v>3</v>
      </c>
      <c r="H139" s="9">
        <v>100</v>
      </c>
      <c r="I139" s="9">
        <v>81</v>
      </c>
      <c r="J139" s="10">
        <v>5.617283950617284</v>
      </c>
      <c r="K139" s="12">
        <f t="shared" si="4"/>
        <v>19</v>
      </c>
      <c r="L139" s="13">
        <f t="shared" si="5"/>
        <v>4.55</v>
      </c>
    </row>
    <row r="140" spans="1:12" x14ac:dyDescent="0.3">
      <c r="A140" s="8" t="s">
        <v>324</v>
      </c>
      <c r="B140" s="8" t="s">
        <v>11</v>
      </c>
      <c r="C140" s="8" t="s">
        <v>12</v>
      </c>
      <c r="D140" s="8" t="s">
        <v>13</v>
      </c>
      <c r="E140" s="8" t="s">
        <v>14</v>
      </c>
      <c r="F140" s="8" t="s">
        <v>325</v>
      </c>
      <c r="G140" s="9">
        <v>6</v>
      </c>
      <c r="H140" s="9">
        <v>113</v>
      </c>
      <c r="I140" s="9">
        <v>30</v>
      </c>
      <c r="J140" s="10">
        <v>1.6666666666666667</v>
      </c>
      <c r="K140" s="12">
        <f t="shared" si="4"/>
        <v>83</v>
      </c>
      <c r="L140" s="13">
        <f t="shared" si="5"/>
        <v>0.44247787610619471</v>
      </c>
    </row>
    <row r="141" spans="1:12" x14ac:dyDescent="0.3">
      <c r="A141" s="8" t="s">
        <v>326</v>
      </c>
      <c r="B141" s="8" t="s">
        <v>103</v>
      </c>
      <c r="C141" s="8" t="s">
        <v>12</v>
      </c>
      <c r="D141" s="8" t="s">
        <v>13</v>
      </c>
      <c r="E141" s="8" t="s">
        <v>327</v>
      </c>
      <c r="F141" s="8" t="s">
        <v>328</v>
      </c>
      <c r="G141" s="9">
        <v>2</v>
      </c>
      <c r="H141" s="9">
        <v>32</v>
      </c>
      <c r="I141" s="9">
        <v>0</v>
      </c>
      <c r="J141" s="10">
        <v>0</v>
      </c>
      <c r="K141" s="12">
        <f t="shared" si="4"/>
        <v>32</v>
      </c>
      <c r="L141" s="13">
        <f t="shared" si="5"/>
        <v>0</v>
      </c>
    </row>
    <row r="142" spans="1:12" x14ac:dyDescent="0.3">
      <c r="A142" s="8" t="s">
        <v>329</v>
      </c>
      <c r="B142" s="8" t="s">
        <v>11</v>
      </c>
      <c r="C142" s="8" t="s">
        <v>12</v>
      </c>
      <c r="D142" s="8" t="s">
        <v>13</v>
      </c>
      <c r="E142" s="8" t="s">
        <v>14</v>
      </c>
      <c r="F142" s="8" t="s">
        <v>330</v>
      </c>
      <c r="G142" s="9">
        <v>2</v>
      </c>
      <c r="H142" s="9">
        <v>64</v>
      </c>
      <c r="I142" s="9">
        <v>58</v>
      </c>
      <c r="J142" s="10">
        <v>7.5</v>
      </c>
      <c r="K142" s="12">
        <f t="shared" si="4"/>
        <v>6</v>
      </c>
      <c r="L142" s="13">
        <f t="shared" si="5"/>
        <v>6.796875</v>
      </c>
    </row>
    <row r="143" spans="1:12" x14ac:dyDescent="0.3">
      <c r="A143" s="8" t="s">
        <v>331</v>
      </c>
      <c r="B143" s="8" t="s">
        <v>12</v>
      </c>
      <c r="C143" s="8" t="s">
        <v>17</v>
      </c>
      <c r="D143" s="8" t="s">
        <v>49</v>
      </c>
      <c r="E143" s="8" t="s">
        <v>67</v>
      </c>
      <c r="F143" s="8" t="s">
        <v>332</v>
      </c>
      <c r="G143" s="9">
        <v>3</v>
      </c>
      <c r="H143" s="9">
        <v>86</v>
      </c>
      <c r="I143" s="9">
        <v>83</v>
      </c>
      <c r="J143" s="10">
        <v>2.1566265060240966</v>
      </c>
      <c r="K143" s="12">
        <f t="shared" si="4"/>
        <v>3</v>
      </c>
      <c r="L143" s="13">
        <f t="shared" si="5"/>
        <v>2.0813953488372094</v>
      </c>
    </row>
    <row r="144" spans="1:12" x14ac:dyDescent="0.3">
      <c r="A144" s="8" t="s">
        <v>333</v>
      </c>
      <c r="B144" s="8" t="s">
        <v>12</v>
      </c>
      <c r="C144" s="8" t="s">
        <v>17</v>
      </c>
      <c r="D144" s="8" t="s">
        <v>49</v>
      </c>
      <c r="E144" s="8" t="s">
        <v>67</v>
      </c>
      <c r="F144" s="8" t="s">
        <v>334</v>
      </c>
      <c r="G144" s="9">
        <v>2</v>
      </c>
      <c r="H144" s="9">
        <v>36</v>
      </c>
      <c r="I144" s="9">
        <v>36</v>
      </c>
      <c r="J144" s="10">
        <v>5.3611111111111107</v>
      </c>
      <c r="K144" s="12">
        <f t="shared" si="4"/>
        <v>0</v>
      </c>
      <c r="L144" s="13">
        <f t="shared" si="5"/>
        <v>5.3611111111111107</v>
      </c>
    </row>
    <row r="145" spans="1:12" x14ac:dyDescent="0.3">
      <c r="A145" s="8" t="s">
        <v>335</v>
      </c>
      <c r="B145" s="8" t="s">
        <v>12</v>
      </c>
      <c r="C145" s="8" t="s">
        <v>17</v>
      </c>
      <c r="D145" s="8" t="s">
        <v>49</v>
      </c>
      <c r="E145" s="8" t="s">
        <v>55</v>
      </c>
      <c r="F145" s="8" t="s">
        <v>336</v>
      </c>
      <c r="G145" s="9">
        <v>2</v>
      </c>
      <c r="H145" s="9">
        <v>49</v>
      </c>
      <c r="I145" s="9">
        <v>43</v>
      </c>
      <c r="J145" s="10">
        <v>4.2790697674418601</v>
      </c>
      <c r="K145" s="12">
        <f t="shared" si="4"/>
        <v>6</v>
      </c>
      <c r="L145" s="13">
        <f t="shared" si="5"/>
        <v>3.7551020408163258</v>
      </c>
    </row>
    <row r="146" spans="1:12" x14ac:dyDescent="0.3">
      <c r="A146" s="8" t="s">
        <v>337</v>
      </c>
      <c r="B146" s="8" t="s">
        <v>12</v>
      </c>
      <c r="C146" s="8" t="s">
        <v>17</v>
      </c>
      <c r="D146" s="8" t="s">
        <v>49</v>
      </c>
      <c r="E146" s="8" t="s">
        <v>195</v>
      </c>
      <c r="F146" s="8" t="s">
        <v>338</v>
      </c>
      <c r="G146" s="9">
        <v>2</v>
      </c>
      <c r="H146" s="9">
        <v>49</v>
      </c>
      <c r="I146" s="9">
        <v>47</v>
      </c>
      <c r="J146" s="10">
        <v>6.2340425531914896</v>
      </c>
      <c r="K146" s="12">
        <f t="shared" si="4"/>
        <v>2</v>
      </c>
      <c r="L146" s="13">
        <f t="shared" si="5"/>
        <v>5.9795918367346941</v>
      </c>
    </row>
    <row r="147" spans="1:12" x14ac:dyDescent="0.3">
      <c r="A147" s="8" t="s">
        <v>339</v>
      </c>
      <c r="B147" s="8" t="s">
        <v>12</v>
      </c>
      <c r="C147" s="8" t="s">
        <v>17</v>
      </c>
      <c r="D147" s="8" t="s">
        <v>49</v>
      </c>
      <c r="E147" s="8" t="s">
        <v>55</v>
      </c>
      <c r="F147" s="8" t="s">
        <v>340</v>
      </c>
      <c r="G147" s="9">
        <v>2</v>
      </c>
      <c r="H147" s="9">
        <v>47</v>
      </c>
      <c r="I147" s="9">
        <v>46</v>
      </c>
      <c r="J147" s="10">
        <v>4.6521739130434785</v>
      </c>
      <c r="K147" s="12">
        <f t="shared" si="4"/>
        <v>1</v>
      </c>
      <c r="L147" s="13">
        <f t="shared" si="5"/>
        <v>4.5531914893617023</v>
      </c>
    </row>
    <row r="148" spans="1:12" x14ac:dyDescent="0.3">
      <c r="A148" s="8" t="s">
        <v>341</v>
      </c>
      <c r="B148" s="8" t="s">
        <v>12</v>
      </c>
      <c r="C148" s="8" t="s">
        <v>17</v>
      </c>
      <c r="D148" s="8" t="s">
        <v>49</v>
      </c>
      <c r="E148" s="8" t="s">
        <v>195</v>
      </c>
      <c r="F148" s="8" t="s">
        <v>342</v>
      </c>
      <c r="G148" s="9">
        <v>4</v>
      </c>
      <c r="H148" s="9">
        <v>109</v>
      </c>
      <c r="I148" s="9">
        <v>28</v>
      </c>
      <c r="J148" s="10">
        <v>9.4285714285714288</v>
      </c>
      <c r="K148" s="12">
        <f t="shared" si="4"/>
        <v>81</v>
      </c>
      <c r="L148" s="13">
        <f t="shared" si="5"/>
        <v>2.4220183486238533</v>
      </c>
    </row>
    <row r="149" spans="1:12" x14ac:dyDescent="0.3">
      <c r="A149" s="8" t="s">
        <v>343</v>
      </c>
      <c r="B149" s="8" t="s">
        <v>12</v>
      </c>
      <c r="C149" s="8" t="s">
        <v>17</v>
      </c>
      <c r="D149" s="8" t="s">
        <v>49</v>
      </c>
      <c r="E149" s="8" t="s">
        <v>195</v>
      </c>
      <c r="F149" s="8" t="s">
        <v>344</v>
      </c>
      <c r="G149" s="9">
        <v>4</v>
      </c>
      <c r="H149" s="9">
        <v>113</v>
      </c>
      <c r="I149" s="9">
        <v>113</v>
      </c>
      <c r="J149" s="10">
        <v>4.7079646017699117</v>
      </c>
      <c r="K149" s="12">
        <f t="shared" si="4"/>
        <v>0</v>
      </c>
      <c r="L149" s="13">
        <f t="shared" si="5"/>
        <v>4.7079646017699117</v>
      </c>
    </row>
    <row r="150" spans="1:12" x14ac:dyDescent="0.3">
      <c r="A150" s="8" t="s">
        <v>345</v>
      </c>
      <c r="B150" s="8" t="s">
        <v>12</v>
      </c>
      <c r="C150" s="8" t="s">
        <v>17</v>
      </c>
      <c r="D150" s="8" t="s">
        <v>49</v>
      </c>
      <c r="E150" s="8" t="s">
        <v>189</v>
      </c>
      <c r="F150" s="8" t="s">
        <v>346</v>
      </c>
      <c r="G150" s="9">
        <v>3</v>
      </c>
      <c r="H150" s="9">
        <v>68</v>
      </c>
      <c r="I150" s="9">
        <v>67</v>
      </c>
      <c r="J150" s="10">
        <v>2.1940298507462686</v>
      </c>
      <c r="K150" s="12">
        <f t="shared" si="4"/>
        <v>1</v>
      </c>
      <c r="L150" s="13">
        <f t="shared" si="5"/>
        <v>2.1617647058823528</v>
      </c>
    </row>
    <row r="151" spans="1:12" x14ac:dyDescent="0.3">
      <c r="A151" s="8" t="s">
        <v>347</v>
      </c>
      <c r="B151" s="8" t="s">
        <v>25</v>
      </c>
      <c r="C151" s="8" t="s">
        <v>12</v>
      </c>
      <c r="D151" s="8" t="s">
        <v>13</v>
      </c>
      <c r="E151" s="8" t="s">
        <v>113</v>
      </c>
      <c r="F151" s="8" t="s">
        <v>348</v>
      </c>
      <c r="G151" s="9">
        <v>4</v>
      </c>
      <c r="H151" s="9">
        <v>112</v>
      </c>
      <c r="I151" s="9">
        <v>82</v>
      </c>
      <c r="J151" s="10">
        <v>4.4268292682926829</v>
      </c>
      <c r="K151" s="12">
        <f t="shared" si="4"/>
        <v>30</v>
      </c>
      <c r="L151" s="13">
        <f t="shared" si="5"/>
        <v>3.2410714285714284</v>
      </c>
    </row>
    <row r="152" spans="1:12" x14ac:dyDescent="0.3">
      <c r="A152" s="8" t="s">
        <v>349</v>
      </c>
      <c r="B152" s="8" t="s">
        <v>25</v>
      </c>
      <c r="C152" s="8" t="s">
        <v>12</v>
      </c>
      <c r="D152" s="8" t="s">
        <v>13</v>
      </c>
      <c r="E152" s="8" t="s">
        <v>113</v>
      </c>
      <c r="F152" s="8" t="s">
        <v>350</v>
      </c>
      <c r="G152" s="9">
        <v>3</v>
      </c>
      <c r="H152" s="9">
        <v>65</v>
      </c>
      <c r="I152" s="9">
        <v>54</v>
      </c>
      <c r="J152" s="10">
        <v>7.7407407407407405</v>
      </c>
      <c r="K152" s="12">
        <f t="shared" si="4"/>
        <v>11</v>
      </c>
      <c r="L152" s="13">
        <f t="shared" si="5"/>
        <v>6.430769230769231</v>
      </c>
    </row>
    <row r="153" spans="1:12" x14ac:dyDescent="0.3">
      <c r="A153" s="8" t="s">
        <v>351</v>
      </c>
      <c r="B153" s="8" t="s">
        <v>12</v>
      </c>
      <c r="C153" s="8" t="s">
        <v>17</v>
      </c>
      <c r="D153" s="8" t="s">
        <v>13</v>
      </c>
      <c r="E153" s="8" t="s">
        <v>82</v>
      </c>
      <c r="F153" s="8" t="s">
        <v>352</v>
      </c>
      <c r="G153" s="9">
        <v>3</v>
      </c>
      <c r="H153" s="9">
        <v>54</v>
      </c>
      <c r="I153" s="9">
        <v>0</v>
      </c>
      <c r="J153" s="10">
        <v>0</v>
      </c>
      <c r="K153" s="12">
        <f t="shared" si="4"/>
        <v>54</v>
      </c>
      <c r="L153" s="13">
        <f t="shared" si="5"/>
        <v>0</v>
      </c>
    </row>
    <row r="154" spans="1:12" x14ac:dyDescent="0.3">
      <c r="A154" s="8" t="s">
        <v>353</v>
      </c>
      <c r="B154" s="8" t="s">
        <v>12</v>
      </c>
      <c r="C154" s="8" t="s">
        <v>17</v>
      </c>
      <c r="D154" s="8" t="s">
        <v>13</v>
      </c>
      <c r="E154" s="8" t="s">
        <v>82</v>
      </c>
      <c r="F154" s="8" t="s">
        <v>354</v>
      </c>
      <c r="G154" s="9">
        <v>3</v>
      </c>
      <c r="H154" s="9">
        <v>61</v>
      </c>
      <c r="I154" s="9">
        <v>39</v>
      </c>
      <c r="J154" s="10">
        <v>1.0256410256410255</v>
      </c>
      <c r="K154" s="12">
        <f t="shared" si="4"/>
        <v>22</v>
      </c>
      <c r="L154" s="13">
        <f t="shared" si="5"/>
        <v>0.65573770491803274</v>
      </c>
    </row>
    <row r="155" spans="1:12" x14ac:dyDescent="0.3">
      <c r="A155" s="8" t="s">
        <v>355</v>
      </c>
      <c r="B155" s="8" t="s">
        <v>12</v>
      </c>
      <c r="C155" s="8" t="s">
        <v>17</v>
      </c>
      <c r="D155" s="8" t="s">
        <v>13</v>
      </c>
      <c r="E155" s="8" t="s">
        <v>82</v>
      </c>
      <c r="F155" s="8" t="s">
        <v>356</v>
      </c>
      <c r="G155" s="9">
        <v>3</v>
      </c>
      <c r="H155" s="9">
        <v>43</v>
      </c>
      <c r="I155" s="9">
        <v>41</v>
      </c>
      <c r="J155" s="10">
        <v>5.9024390243902438</v>
      </c>
      <c r="K155" s="12">
        <f t="shared" si="4"/>
        <v>2</v>
      </c>
      <c r="L155" s="13">
        <f t="shared" si="5"/>
        <v>5.6279069767441863</v>
      </c>
    </row>
    <row r="156" spans="1:12" x14ac:dyDescent="0.3">
      <c r="A156" s="8" t="s">
        <v>357</v>
      </c>
      <c r="B156" s="8" t="s">
        <v>12</v>
      </c>
      <c r="C156" s="8" t="s">
        <v>17</v>
      </c>
      <c r="D156" s="8" t="s">
        <v>13</v>
      </c>
      <c r="E156" s="8" t="s">
        <v>82</v>
      </c>
      <c r="F156" s="8" t="s">
        <v>358</v>
      </c>
      <c r="G156" s="9">
        <v>2</v>
      </c>
      <c r="H156" s="9">
        <v>47</v>
      </c>
      <c r="I156" s="9">
        <v>35</v>
      </c>
      <c r="J156" s="10">
        <v>2.9142857142857141</v>
      </c>
      <c r="K156" s="12">
        <f t="shared" si="4"/>
        <v>12</v>
      </c>
      <c r="L156" s="13">
        <f t="shared" si="5"/>
        <v>2.1702127659574466</v>
      </c>
    </row>
    <row r="157" spans="1:12" x14ac:dyDescent="0.3">
      <c r="A157" s="8" t="s">
        <v>359</v>
      </c>
      <c r="B157" s="8" t="s">
        <v>12</v>
      </c>
      <c r="C157" s="8" t="s">
        <v>17</v>
      </c>
      <c r="D157" s="8" t="s">
        <v>49</v>
      </c>
      <c r="E157" s="8" t="s">
        <v>195</v>
      </c>
      <c r="F157" s="8" t="s">
        <v>360</v>
      </c>
      <c r="G157" s="9">
        <v>2</v>
      </c>
      <c r="H157" s="9">
        <v>39</v>
      </c>
      <c r="I157" s="9">
        <v>17</v>
      </c>
      <c r="J157" s="10">
        <v>4</v>
      </c>
      <c r="K157" s="12">
        <f t="shared" si="4"/>
        <v>22</v>
      </c>
      <c r="L157" s="13">
        <f t="shared" si="5"/>
        <v>1.7435897435897436</v>
      </c>
    </row>
    <row r="158" spans="1:12" x14ac:dyDescent="0.3">
      <c r="A158" s="8" t="s">
        <v>361</v>
      </c>
      <c r="B158" s="8" t="s">
        <v>38</v>
      </c>
      <c r="C158" s="8" t="s">
        <v>12</v>
      </c>
      <c r="D158" s="8" t="s">
        <v>13</v>
      </c>
      <c r="E158" s="8" t="s">
        <v>113</v>
      </c>
      <c r="F158" s="8" t="s">
        <v>362</v>
      </c>
      <c r="G158" s="9">
        <v>3</v>
      </c>
      <c r="H158" s="9">
        <v>82</v>
      </c>
      <c r="I158" s="9">
        <v>73</v>
      </c>
      <c r="J158" s="10">
        <v>2.9452054794520546</v>
      </c>
      <c r="K158" s="12">
        <f t="shared" si="4"/>
        <v>9</v>
      </c>
      <c r="L158" s="13">
        <f t="shared" si="5"/>
        <v>2.6219512195121948</v>
      </c>
    </row>
    <row r="159" spans="1:12" x14ac:dyDescent="0.3">
      <c r="A159" s="8" t="s">
        <v>363</v>
      </c>
      <c r="B159" s="8" t="s">
        <v>12</v>
      </c>
      <c r="C159" s="8" t="s">
        <v>17</v>
      </c>
      <c r="D159" s="8" t="s">
        <v>49</v>
      </c>
      <c r="E159" s="8" t="s">
        <v>60</v>
      </c>
      <c r="F159" s="8" t="s">
        <v>364</v>
      </c>
      <c r="G159" s="9">
        <v>2</v>
      </c>
      <c r="H159" s="9">
        <v>51</v>
      </c>
      <c r="I159" s="9">
        <v>46</v>
      </c>
      <c r="J159" s="10">
        <v>3.5434782608695654</v>
      </c>
      <c r="K159" s="12">
        <f t="shared" si="4"/>
        <v>5</v>
      </c>
      <c r="L159" s="13">
        <f t="shared" si="5"/>
        <v>3.1960784313725492</v>
      </c>
    </row>
    <row r="160" spans="1:12" x14ac:dyDescent="0.3">
      <c r="A160" s="8" t="s">
        <v>365</v>
      </c>
      <c r="B160" s="8" t="s">
        <v>25</v>
      </c>
      <c r="C160" s="8" t="s">
        <v>12</v>
      </c>
      <c r="D160" s="8" t="s">
        <v>13</v>
      </c>
      <c r="E160" s="8" t="s">
        <v>123</v>
      </c>
      <c r="F160" s="8" t="s">
        <v>366</v>
      </c>
      <c r="G160" s="9">
        <v>5</v>
      </c>
      <c r="H160" s="9">
        <v>133</v>
      </c>
      <c r="I160" s="9">
        <v>129</v>
      </c>
      <c r="J160" s="10">
        <v>5.9147286821705425</v>
      </c>
      <c r="K160" s="12">
        <f t="shared" si="4"/>
        <v>4</v>
      </c>
      <c r="L160" s="13">
        <f t="shared" si="5"/>
        <v>5.7368421052631575</v>
      </c>
    </row>
    <row r="161" spans="1:12" x14ac:dyDescent="0.3">
      <c r="A161" s="8" t="s">
        <v>367</v>
      </c>
      <c r="B161" s="8" t="s">
        <v>25</v>
      </c>
      <c r="C161" s="8" t="s">
        <v>12</v>
      </c>
      <c r="D161" s="8" t="s">
        <v>13</v>
      </c>
      <c r="E161" s="8" t="s">
        <v>113</v>
      </c>
      <c r="F161" s="8" t="s">
        <v>368</v>
      </c>
      <c r="G161" s="9">
        <v>2</v>
      </c>
      <c r="H161" s="9">
        <v>45</v>
      </c>
      <c r="I161" s="9">
        <v>42</v>
      </c>
      <c r="J161" s="10">
        <v>2.6904761904761907</v>
      </c>
      <c r="K161" s="12">
        <f t="shared" si="4"/>
        <v>3</v>
      </c>
      <c r="L161" s="13">
        <f t="shared" si="5"/>
        <v>2.5111111111111115</v>
      </c>
    </row>
    <row r="162" spans="1:12" x14ac:dyDescent="0.3">
      <c r="A162" s="8" t="s">
        <v>369</v>
      </c>
      <c r="B162" s="8" t="s">
        <v>12</v>
      </c>
      <c r="C162" s="8" t="s">
        <v>17</v>
      </c>
      <c r="D162" s="8" t="s">
        <v>13</v>
      </c>
      <c r="E162" s="8" t="s">
        <v>76</v>
      </c>
      <c r="F162" s="11" t="s">
        <v>370</v>
      </c>
      <c r="G162" s="9">
        <v>2</v>
      </c>
      <c r="H162" s="9">
        <v>57</v>
      </c>
      <c r="I162" s="9">
        <v>0</v>
      </c>
      <c r="J162" s="10">
        <v>0</v>
      </c>
      <c r="K162" s="12">
        <f t="shared" si="4"/>
        <v>57</v>
      </c>
      <c r="L162" s="13">
        <f t="shared" si="5"/>
        <v>0</v>
      </c>
    </row>
    <row r="163" spans="1:12" x14ac:dyDescent="0.3">
      <c r="A163" s="8" t="s">
        <v>371</v>
      </c>
      <c r="B163" s="8" t="s">
        <v>12</v>
      </c>
      <c r="C163" s="8" t="s">
        <v>17</v>
      </c>
      <c r="D163" s="8" t="s">
        <v>49</v>
      </c>
      <c r="E163" s="8" t="s">
        <v>60</v>
      </c>
      <c r="F163" s="8" t="s">
        <v>372</v>
      </c>
      <c r="G163" s="9">
        <v>3</v>
      </c>
      <c r="H163" s="9">
        <v>88</v>
      </c>
      <c r="I163" s="9">
        <v>42</v>
      </c>
      <c r="J163" s="10">
        <v>7.4285714285714288</v>
      </c>
      <c r="K163" s="12">
        <f t="shared" si="4"/>
        <v>46</v>
      </c>
      <c r="L163" s="13">
        <f t="shared" si="5"/>
        <v>3.5454545454545454</v>
      </c>
    </row>
    <row r="164" spans="1:12" x14ac:dyDescent="0.3">
      <c r="A164" s="8" t="s">
        <v>373</v>
      </c>
      <c r="B164" s="8" t="s">
        <v>261</v>
      </c>
      <c r="C164" s="8" t="s">
        <v>12</v>
      </c>
      <c r="D164" s="8" t="s">
        <v>13</v>
      </c>
      <c r="E164" s="8" t="s">
        <v>374</v>
      </c>
      <c r="F164" s="8" t="s">
        <v>375</v>
      </c>
      <c r="G164" s="9">
        <v>1</v>
      </c>
      <c r="H164" s="9">
        <v>19</v>
      </c>
      <c r="I164" s="9">
        <v>0</v>
      </c>
      <c r="J164" s="10">
        <v>0</v>
      </c>
      <c r="K164" s="12">
        <f t="shared" si="4"/>
        <v>19</v>
      </c>
      <c r="L164" s="13">
        <f t="shared" si="5"/>
        <v>0</v>
      </c>
    </row>
    <row r="165" spans="1:12" x14ac:dyDescent="0.3">
      <c r="A165" s="8" t="s">
        <v>376</v>
      </c>
      <c r="B165" s="8" t="s">
        <v>12</v>
      </c>
      <c r="C165" s="8" t="s">
        <v>17</v>
      </c>
      <c r="D165" s="8" t="s">
        <v>49</v>
      </c>
      <c r="E165" s="8" t="s">
        <v>50</v>
      </c>
      <c r="F165" s="8" t="s">
        <v>377</v>
      </c>
      <c r="G165" s="9">
        <v>1</v>
      </c>
      <c r="H165" s="9">
        <v>16</v>
      </c>
      <c r="I165" s="9">
        <v>16</v>
      </c>
      <c r="J165" s="10">
        <v>12.25</v>
      </c>
      <c r="K165" s="12">
        <f t="shared" si="4"/>
        <v>0</v>
      </c>
      <c r="L165" s="13">
        <f t="shared" si="5"/>
        <v>12.25</v>
      </c>
    </row>
    <row r="166" spans="1:12" x14ac:dyDescent="0.3">
      <c r="A166" s="8" t="s">
        <v>378</v>
      </c>
      <c r="B166" s="8" t="s">
        <v>11</v>
      </c>
      <c r="C166" s="8" t="s">
        <v>12</v>
      </c>
      <c r="D166" s="8" t="s">
        <v>13</v>
      </c>
      <c r="E166" s="8" t="s">
        <v>14</v>
      </c>
      <c r="F166" s="8" t="s">
        <v>379</v>
      </c>
      <c r="G166" s="9">
        <v>1</v>
      </c>
      <c r="H166" s="9">
        <v>6</v>
      </c>
      <c r="I166" s="9">
        <v>0</v>
      </c>
      <c r="J166" s="10">
        <v>0</v>
      </c>
      <c r="K166" s="12">
        <f t="shared" si="4"/>
        <v>6</v>
      </c>
      <c r="L166" s="13">
        <f t="shared" si="5"/>
        <v>0</v>
      </c>
    </row>
    <row r="167" spans="1:12" x14ac:dyDescent="0.3">
      <c r="A167" s="8" t="s">
        <v>380</v>
      </c>
      <c r="B167" s="8" t="s">
        <v>12</v>
      </c>
      <c r="C167" s="8" t="s">
        <v>17</v>
      </c>
      <c r="D167" s="8" t="s">
        <v>13</v>
      </c>
      <c r="E167" s="8" t="s">
        <v>76</v>
      </c>
      <c r="F167" s="8" t="s">
        <v>381</v>
      </c>
      <c r="G167" s="9">
        <v>2</v>
      </c>
      <c r="H167" s="9">
        <v>59</v>
      </c>
      <c r="I167" s="9">
        <v>49</v>
      </c>
      <c r="J167" s="10">
        <v>2.0204081632653059</v>
      </c>
      <c r="K167" s="12">
        <f t="shared" si="4"/>
        <v>10</v>
      </c>
      <c r="L167" s="13">
        <f t="shared" si="5"/>
        <v>1.677966101694915</v>
      </c>
    </row>
    <row r="168" spans="1:12" x14ac:dyDescent="0.3">
      <c r="A168" s="8" t="s">
        <v>382</v>
      </c>
      <c r="B168" s="8" t="s">
        <v>12</v>
      </c>
      <c r="C168" s="8" t="s">
        <v>17</v>
      </c>
      <c r="D168" s="8" t="s">
        <v>13</v>
      </c>
      <c r="E168" s="8" t="s">
        <v>82</v>
      </c>
      <c r="F168" s="8" t="s">
        <v>383</v>
      </c>
      <c r="G168" s="9">
        <v>3</v>
      </c>
      <c r="H168" s="9">
        <v>58</v>
      </c>
      <c r="I168" s="9">
        <v>43</v>
      </c>
      <c r="J168" s="10">
        <v>1.5348837209302326</v>
      </c>
      <c r="K168" s="12">
        <f t="shared" si="4"/>
        <v>15</v>
      </c>
      <c r="L168" s="13">
        <f t="shared" si="5"/>
        <v>1.1379310344827587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MyWorkSheet-1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2026-05-24T12:02:46Z</dcterms:created>
  <dcterms:modified xsi:type="dcterms:W3CDTF">2026-05-24T12:07:28Z</dcterms:modified>
  <cp:category/>
</cp:coreProperties>
</file>